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cad" sheetId="2" r:id="rId5"/>
    <sheet state="visible" name="L1" sheetId="3" r:id="rId6"/>
    <sheet state="visible" name="L2" sheetId="4" r:id="rId7"/>
    <sheet state="visible" name="L3" sheetId="5" r:id="rId8"/>
    <sheet state="visible" name="SC1" sheetId="6" r:id="rId9"/>
    <sheet state="visible" name="SC2" sheetId="7" r:id="rId10"/>
  </sheets>
  <definedNames/>
  <calcPr/>
  <extLst>
    <ext uri="GoogleSheetsCustomDataVersion2">
      <go:sheetsCustomData xmlns:go="http://customooxmlschemas.google.com/" r:id="rId11" roundtripDataChecksum="DVfSxQezBcs6t00L5AN0k/JfcITVZ3Pf8ixiQft7nt8="/>
    </ext>
  </extLst>
</workbook>
</file>

<file path=xl/sharedStrings.xml><?xml version="1.0" encoding="utf-8"?>
<sst xmlns="http://schemas.openxmlformats.org/spreadsheetml/2006/main" count="463" uniqueCount="132">
  <si>
    <t>TEN OUTSTANDING STUDENT AWARDS 2025</t>
  </si>
  <si>
    <t>ARASOF- Nasugbu Campus</t>
  </si>
  <si>
    <t>INDIVIDUAL SUMMARY SHEET</t>
  </si>
  <si>
    <t>LAST NAME:</t>
  </si>
  <si>
    <t>FIRST NAME, EXT.:</t>
  </si>
  <si>
    <t>MIDDLE NAME:</t>
  </si>
  <si>
    <t>COLLEGE/DEPARTMENT:</t>
  </si>
  <si>
    <t>PROGRAM:</t>
  </si>
  <si>
    <t>CRITERIA</t>
  </si>
  <si>
    <t>STUDENT SCORE</t>
  </si>
  <si>
    <t>CRITERION A - ACADEMIC (MAXIMUM = 40 POINTS)</t>
  </si>
  <si>
    <t>I. Grades / Scholastic Record (30 points)</t>
  </si>
  <si>
    <t>II. Academic Awards / Citations(10 points)</t>
  </si>
  <si>
    <t>TOTAL</t>
  </si>
  <si>
    <t>CRITERION B - LEADERSHIP (MAXIMUM = 30 POINTS)</t>
  </si>
  <si>
    <t>I. International (6 points)</t>
  </si>
  <si>
    <t>II. National / Regional (12 points)</t>
  </si>
  <si>
    <t>III.  Local / Provincial  (12 points)</t>
  </si>
  <si>
    <t>CRITERION C- SOCIAL RESPONSIBILITY  (MAXIMUM = 30 POINTS)</t>
  </si>
  <si>
    <t>I. Non-School (18 oints)</t>
  </si>
  <si>
    <t>II. School (12 points)</t>
  </si>
  <si>
    <t>EVALUATED BY:</t>
  </si>
  <si>
    <t>Ms.  ANALYN H. VENZON</t>
  </si>
  <si>
    <t>Asst. Prof. CHERRY U. BANTA</t>
  </si>
  <si>
    <t>Name and Signature of TOSA Member</t>
  </si>
  <si>
    <t xml:space="preserve">Name and Signature of TOSA Member		</t>
  </si>
  <si>
    <t>Date:</t>
  </si>
  <si>
    <t>Dr. DYEMNAH INASIAH P. BENTIR</t>
  </si>
  <si>
    <t>TEN OUTSTANDING STUDENT AWARDS 2024</t>
  </si>
  <si>
    <t>GWA</t>
  </si>
  <si>
    <t>Score</t>
  </si>
  <si>
    <t>First Place</t>
  </si>
  <si>
    <t xml:space="preserve">ACADEMIC </t>
  </si>
  <si>
    <t>Second Place</t>
  </si>
  <si>
    <t>Third Place</t>
  </si>
  <si>
    <t>Fourth Place</t>
  </si>
  <si>
    <t>Fifth Place</t>
  </si>
  <si>
    <t>Sixth Place</t>
  </si>
  <si>
    <t>Seventh Place</t>
  </si>
  <si>
    <t>SCORE</t>
  </si>
  <si>
    <t>Eighth Place</t>
  </si>
  <si>
    <t>Ninth Place</t>
  </si>
  <si>
    <t>Tenth Place</t>
  </si>
  <si>
    <r>
      <rPr>
        <rFont val="Aptos Narrow"/>
        <b/>
        <color theme="1"/>
        <sz val="12.0"/>
      </rPr>
      <t xml:space="preserve">II. Academic Awards / Citations(10 points)
</t>
    </r>
    <r>
      <rPr>
        <rFont val="Aptos Narrow (Body)"/>
        <b/>
        <i/>
        <color theme="1"/>
        <sz val="10.0"/>
      </rPr>
      <t>(Refers to Quiz Bees, Research Presentations, Journalism and other academic related awards)</t>
    </r>
  </si>
  <si>
    <t>International</t>
  </si>
  <si>
    <t>Name of the Awarding Body</t>
  </si>
  <si>
    <t>Title of the Award</t>
  </si>
  <si>
    <t>Place</t>
  </si>
  <si>
    <t>Point</t>
  </si>
  <si>
    <t>SUB-TOTAL</t>
  </si>
  <si>
    <t>National/Regional</t>
  </si>
  <si>
    <t>Local/Provincial</t>
  </si>
  <si>
    <t>INTERNATIONAL</t>
  </si>
  <si>
    <t>NATIONAL/REGIONAL</t>
  </si>
  <si>
    <t>LOCAL/PROVINCIAL</t>
  </si>
  <si>
    <t>Engr. ALFREDO V. ATIENZA JR.</t>
  </si>
  <si>
    <t>LEADERSHIP</t>
  </si>
  <si>
    <t>B.1 International (6 points)</t>
  </si>
  <si>
    <t>B.1.1. Workshop and Seminars attended related to Leadership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</si>
  <si>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(Starting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</si>
  <si>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(End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</si>
  <si>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t>Title of WorkShop/Seminar Attended</t>
  </si>
  <si>
    <t>Organizer</t>
  </si>
  <si>
    <t>B.1.2 Leadership in Organizations</t>
  </si>
  <si>
    <t>Position</t>
  </si>
  <si>
    <t>Organization</t>
  </si>
  <si>
    <t>President</t>
  </si>
  <si>
    <t>Vice President</t>
  </si>
  <si>
    <t>Other Positions</t>
  </si>
  <si>
    <t>B.1.3 Leadership Awards</t>
  </si>
  <si>
    <t>Date</t>
  </si>
  <si>
    <t>Title of Awards Received</t>
  </si>
  <si>
    <t>Name of Awarding Body</t>
  </si>
  <si>
    <t>sf</t>
  </si>
  <si>
    <t>gsf</t>
  </si>
  <si>
    <t>B.1 International (6 points) - Summary</t>
  </si>
  <si>
    <t>WORKSHOPS AND SEMINARS</t>
  </si>
  <si>
    <t>LEADERSHIP IN ORGANIZATIONS</t>
  </si>
  <si>
    <t>LEADERSHIP AWARDS</t>
  </si>
  <si>
    <t>B.2.1 National/Regional (12 points)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</si>
  <si>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(Starting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</si>
  <si>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(End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</si>
  <si>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t>B.2.2 Leadership in Organizations</t>
  </si>
  <si>
    <t>B.2.3 Leadership Awards</t>
  </si>
  <si>
    <t>dfadf</t>
  </si>
  <si>
    <t>adfas</t>
  </si>
  <si>
    <t>dafd</t>
  </si>
  <si>
    <t>asdf</t>
  </si>
  <si>
    <t>dfdf</t>
  </si>
  <si>
    <t>B.2 National Regional (12 points) - Summary</t>
  </si>
  <si>
    <t>B.3.1 Local/Provincial (12 points)</t>
  </si>
  <si>
    <t>B.3.1. Workshop and Seminars attended related to Leadership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</si>
  <si>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(Starting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</si>
  <si>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color theme="1"/>
        <sz val="9.0"/>
      </rPr>
      <t>(End date)</t>
    </r>
    <r>
      <rPr>
        <rFont val="Aptos Narrow"/>
        <b/>
        <color theme="1"/>
        <sz val="10.0"/>
      </rPr>
      <t xml:space="preserve">
</t>
    </r>
    <r>
      <rPr>
        <rFont val="Aptos Narrow"/>
        <b/>
        <i/>
        <color theme="1"/>
        <sz val="8.0"/>
      </rPr>
      <t>DD/MM/YYYY</t>
    </r>
  </si>
  <si>
    <t>B.3.2 Leadership in Organizations</t>
  </si>
  <si>
    <t>B.3.3 Leadership Awards</t>
  </si>
  <si>
    <t>dfads</t>
  </si>
  <si>
    <t>ad</t>
  </si>
  <si>
    <t>adf</t>
  </si>
  <si>
    <t>a</t>
  </si>
  <si>
    <t>B.3 Local/Provincial (12 points) - Summary</t>
  </si>
  <si>
    <t>SOCIAL RESPONSIBILITY</t>
  </si>
  <si>
    <t>CRITERION C - SOCIAL RESPONSIBILITY (MAXIMUM = 30 POINTS)</t>
  </si>
  <si>
    <t>C.1 (18 points)</t>
  </si>
  <si>
    <t>C.1.1 (International)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</si>
  <si>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</si>
  <si>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Nature or Description of Activity</t>
  </si>
  <si>
    <t>Name of Organization</t>
  </si>
  <si>
    <t>Role</t>
  </si>
  <si>
    <t>Team Leader</t>
  </si>
  <si>
    <t>Participant</t>
  </si>
  <si>
    <t>Performer</t>
  </si>
  <si>
    <t>C.1.2 (National/Regional)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</si>
  <si>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</si>
  <si>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C.1.3 (Provincial/District)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</si>
  <si>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</si>
  <si>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C.1.4 (Local - Municipal / Barangay)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</si>
  <si>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</si>
  <si>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C.1 Social Responsibility (18 points) - Summary</t>
  </si>
  <si>
    <t>PROVINCIAL/DISTRICT</t>
  </si>
  <si>
    <t>LOCAL (MUNICIPAL/BARANGAY)</t>
  </si>
  <si>
    <t>C.2 School (12 points)</t>
  </si>
  <si>
    <t>C.2.1 (International)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</si>
  <si>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</si>
  <si>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C.2.2 (National/Regional)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</si>
  <si>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</si>
  <si>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C.2.3 (Provincial/District)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</si>
  <si>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</si>
  <si>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C.2.4 (School/Local - Municipal / Barangay)</t>
  </si>
  <si>
    <r>
      <rPr>
        <rFont val="Aptos Narrow"/>
        <b/>
        <color theme="1"/>
        <sz val="10.0"/>
      </rPr>
      <t xml:space="preserve">Inclusive Date of Attendance
</t>
    </r>
    <r>
      <rPr>
        <rFont val="Aptos Narrow"/>
        <b/>
        <i/>
        <color theme="1"/>
        <sz val="8.0"/>
      </rPr>
      <t>DD/MM/YYYY</t>
    </r>
  </si>
  <si>
    <t>C.2 Social Responsibility (12 points) - Summary</t>
  </si>
  <si>
    <t>SCHOOL/LOCAL (MUNICIPAL/BARANGAY)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</si>
</sst>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2.0"/>
      <color theme="1"/>
      <name val="Aptos Narrow"/>
    </font>
    <font/>
    <font>
      <sz val="12.0"/>
      <color theme="1"/>
      <name val="Aptos Narrow"/>
    </font>
    <font>
      <b/>
      <sz val="10.0"/>
      <color theme="1"/>
      <name val="Aptos Narrow"/>
    </font>
    <font>
      <color theme="1"/>
      <name val="Aptos Narrow"/>
      <scheme val="minor"/>
    </font>
    <font>
      <sz val="10.0"/>
      <color theme="1"/>
      <name val="Times New Roman"/>
    </font>
    <font>
      <b/>
      <sz val="8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45B0E1"/>
        <bgColor rgb="FF45B0E1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2" numFmtId="0" xfId="0" applyBorder="1" applyFont="1"/>
    <xf borderId="3" fillId="0" fontId="3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Border="1" applyFont="1"/>
    <xf borderId="7" fillId="0" fontId="2" numFmtId="0" xfId="0" applyBorder="1" applyFont="1"/>
    <xf borderId="8" fillId="0" fontId="3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Border="1" applyFont="1"/>
    <xf borderId="12" fillId="0" fontId="2" numFmtId="0" xfId="0" applyBorder="1" applyFont="1"/>
    <xf borderId="13" fillId="0" fontId="3" numFmtId="0" xfId="0" applyBorder="1" applyFont="1"/>
    <xf borderId="14" fillId="0" fontId="2" numFmtId="0" xfId="0" applyBorder="1" applyFont="1"/>
    <xf borderId="15" fillId="0" fontId="2" numFmtId="0" xfId="0" applyBorder="1" applyFont="1"/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center"/>
    </xf>
    <xf borderId="6" fillId="0" fontId="3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6" fillId="0" fontId="1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1" numFmtId="0" xfId="0" applyAlignment="1" applyBorder="1" applyFont="1">
      <alignment horizontal="center"/>
    </xf>
    <xf borderId="22" fillId="0" fontId="2" numFmtId="0" xfId="0" applyBorder="1" applyFont="1"/>
    <xf borderId="22" fillId="0" fontId="1" numFmtId="0" xfId="0" applyAlignment="1" applyBorder="1" applyFont="1">
      <alignment horizontal="center"/>
    </xf>
    <xf borderId="23" fillId="0" fontId="2" numFmtId="0" xfId="0" applyBorder="1" applyFont="1"/>
    <xf borderId="1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0" fillId="0" fontId="2" numFmtId="0" xfId="0" applyBorder="1" applyFont="1"/>
    <xf borderId="19" fillId="0" fontId="3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24" fillId="0" fontId="3" numFmtId="0" xfId="0" applyBorder="1" applyFont="1"/>
    <xf borderId="25" fillId="0" fontId="3" numFmtId="0" xfId="0" applyBorder="1" applyFont="1"/>
    <xf borderId="25" fillId="0" fontId="3" numFmtId="0" xfId="0" applyAlignment="1" applyBorder="1" applyFont="1">
      <alignment horizontal="left"/>
    </xf>
    <xf borderId="25" fillId="0" fontId="2" numFmtId="0" xfId="0" applyBorder="1" applyFont="1"/>
    <xf borderId="26" fillId="0" fontId="3" numFmtId="0" xfId="0" applyBorder="1" applyFont="1"/>
    <xf borderId="0" fillId="0" fontId="5" numFmtId="0" xfId="0" applyFont="1"/>
    <xf borderId="0" fillId="0" fontId="3" numFmtId="0" xfId="0" applyAlignment="1" applyFont="1">
      <alignment horizontal="center"/>
    </xf>
    <xf borderId="27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/>
    </xf>
    <xf borderId="3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0" fillId="0" fontId="3" numFmtId="0" xfId="0" applyFont="1"/>
    <xf borderId="11" fillId="0" fontId="1" numFmtId="0" xfId="0" applyAlignment="1" applyBorder="1" applyFont="1">
      <alignment horizontal="left"/>
    </xf>
    <xf borderId="13" fillId="0" fontId="3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/>
    </xf>
    <xf borderId="29" fillId="0" fontId="2" numFmtId="0" xfId="0" applyBorder="1" applyFont="1"/>
    <xf borderId="30" fillId="2" fontId="1" numFmtId="0" xfId="0" applyAlignment="1" applyBorder="1" applyFont="1">
      <alignment horizontal="center"/>
    </xf>
    <xf borderId="31" fillId="2" fontId="1" numFmtId="0" xfId="0" applyAlignment="1" applyBorder="1" applyFont="1">
      <alignment horizontal="center"/>
    </xf>
    <xf borderId="6" fillId="3" fontId="1" numFmtId="0" xfId="0" applyAlignment="1" applyBorder="1" applyFill="1" applyFont="1">
      <alignment horizontal="left"/>
    </xf>
    <xf borderId="32" fillId="3" fontId="1" numFmtId="0" xfId="0" applyAlignment="1" applyBorder="1" applyFont="1">
      <alignment horizontal="center"/>
    </xf>
    <xf borderId="33" fillId="3" fontId="1" numFmtId="0" xfId="0" applyAlignment="1" applyBorder="1" applyFont="1">
      <alignment horizontal="center"/>
    </xf>
    <xf borderId="11" fillId="0" fontId="1" numFmtId="0" xfId="0" applyAlignment="1" applyBorder="1" applyFont="1">
      <alignment horizontal="right"/>
    </xf>
    <xf borderId="34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left" shrinkToFit="0" wrapText="1"/>
    </xf>
    <xf borderId="26" fillId="0" fontId="6" numFmtId="0" xfId="0" applyAlignment="1" applyBorder="1" applyFont="1">
      <alignment horizontal="center" shrinkToFit="0" vertical="center" wrapText="1"/>
    </xf>
    <xf borderId="6" fillId="4" fontId="1" numFmtId="0" xfId="0" applyAlignment="1" applyBorder="1" applyFill="1" applyFont="1">
      <alignment horizontal="left"/>
    </xf>
    <xf borderId="6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vertical="center"/>
    </xf>
    <xf borderId="32" fillId="5" fontId="4" numFmtId="0" xfId="0" applyAlignment="1" applyBorder="1" applyFont="1">
      <alignment horizontal="center" vertical="center"/>
    </xf>
    <xf borderId="33" fillId="5" fontId="4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shrinkToFit="0" wrapText="1"/>
    </xf>
    <xf borderId="8" fillId="5" fontId="1" numFmtId="0" xfId="0" applyAlignment="1" applyBorder="1" applyFont="1">
      <alignment horizontal="center" shrinkToFit="0" wrapText="1"/>
    </xf>
    <xf borderId="32" fillId="5" fontId="1" numFmtId="0" xfId="0" applyAlignment="1" applyBorder="1" applyFont="1">
      <alignment horizontal="center"/>
    </xf>
    <xf borderId="33" fillId="5" fontId="1" numFmtId="0" xfId="0" applyAlignment="1" applyBorder="1" applyFont="1">
      <alignment horizontal="center"/>
    </xf>
    <xf borderId="35" fillId="0" fontId="6" numFmtId="0" xfId="0" applyAlignment="1" applyBorder="1" applyFont="1">
      <alignment horizontal="center" shrinkToFit="0" vertical="center" wrapText="1"/>
    </xf>
    <xf borderId="34" fillId="0" fontId="1" numFmtId="0" xfId="0" applyBorder="1" applyFont="1"/>
    <xf borderId="1" fillId="6" fontId="1" numFmtId="0" xfId="0" applyAlignment="1" applyBorder="1" applyFill="1" applyFont="1">
      <alignment horizontal="left"/>
    </xf>
    <xf borderId="6" fillId="5" fontId="1" numFmtId="0" xfId="0" applyAlignment="1" applyBorder="1" applyFont="1">
      <alignment horizontal="center"/>
    </xf>
    <xf borderId="8" fillId="5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Font="1"/>
    <xf borderId="36" fillId="0" fontId="1" numFmtId="0" xfId="0" applyAlignment="1" applyBorder="1" applyFont="1">
      <alignment horizontal="right"/>
    </xf>
    <xf borderId="37" fillId="0" fontId="1" numFmtId="0" xfId="0" applyBorder="1" applyFont="1"/>
    <xf borderId="32" fillId="0" fontId="1" numFmtId="0" xfId="0" applyAlignment="1" applyBorder="1" applyFont="1">
      <alignment horizontal="right"/>
    </xf>
    <xf borderId="33" fillId="0" fontId="1" numFmtId="0" xfId="0" applyBorder="1" applyFont="1"/>
    <xf borderId="19" fillId="0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32" fillId="2" fontId="1" numFmtId="0" xfId="0" applyAlignment="1" applyBorder="1" applyFont="1">
      <alignment horizontal="center"/>
    </xf>
    <xf borderId="8" fillId="6" fontId="1" numFmtId="0" xfId="0" applyAlignment="1" applyBorder="1" applyFont="1">
      <alignment horizontal="left"/>
    </xf>
    <xf borderId="32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vertical="center"/>
    </xf>
    <xf borderId="32" fillId="0" fontId="4" numFmtId="14" xfId="0" applyAlignment="1" applyBorder="1" applyFont="1" applyNumberFormat="1">
      <alignment horizontal="center" shrinkToFit="0" vertical="center" wrapText="1"/>
    </xf>
    <xf borderId="0" fillId="0" fontId="3" numFmtId="2" xfId="0" applyFont="1" applyNumberFormat="1"/>
    <xf borderId="8" fillId="0" fontId="4" numFmtId="14" xfId="0" applyAlignment="1" applyBorder="1" applyFont="1" applyNumberFormat="1">
      <alignment horizontal="right" shrinkToFit="0" vertical="center" wrapText="1"/>
    </xf>
    <xf borderId="0" fillId="0" fontId="4" numFmtId="14" xfId="0" applyAlignment="1" applyFont="1" applyNumberFormat="1">
      <alignment shrinkToFit="0" vertical="center" wrapText="1"/>
    </xf>
    <xf borderId="7" fillId="0" fontId="4" numFmtId="14" xfId="0" applyAlignment="1" applyBorder="1" applyFont="1" applyNumberFormat="1">
      <alignment shrinkToFit="0" vertical="center" wrapText="1"/>
    </xf>
    <xf borderId="8" fillId="6" fontId="4" numFmtId="0" xfId="0" applyAlignment="1" applyBorder="1" applyFont="1">
      <alignment horizontal="center" vertical="center"/>
    </xf>
    <xf borderId="32" fillId="6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/>
    </xf>
    <xf borderId="32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right"/>
    </xf>
    <xf borderId="32" fillId="0" fontId="4" numFmtId="0" xfId="0" applyAlignment="1" applyBorder="1" applyFont="1">
      <alignment horizontal="left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17" fillId="0" fontId="1" numFmtId="0" xfId="0" applyBorder="1" applyFont="1"/>
    <xf borderId="38" fillId="0" fontId="4" numFmtId="14" xfId="0" applyAlignment="1" applyBorder="1" applyFont="1" applyNumberFormat="1">
      <alignment horizontal="right" shrinkToFit="0" vertical="center" wrapText="1"/>
    </xf>
    <xf borderId="39" fillId="0" fontId="2" numFmtId="0" xfId="0" applyBorder="1" applyFont="1"/>
    <xf borderId="40" fillId="0" fontId="2" numFmtId="0" xfId="0" applyBorder="1" applyFont="1"/>
    <xf borderId="41" fillId="0" fontId="4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89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2" t="s">
        <v>3</v>
      </c>
      <c r="B6" s="3"/>
      <c r="C6" s="4"/>
      <c r="D6" s="5"/>
      <c r="E6" s="5"/>
      <c r="F6" s="5"/>
      <c r="G6" s="6"/>
    </row>
    <row r="7">
      <c r="A7" s="7" t="s">
        <v>4</v>
      </c>
      <c r="B7" s="8"/>
      <c r="C7" s="9"/>
      <c r="D7" s="10"/>
      <c r="E7" s="10"/>
      <c r="F7" s="10"/>
      <c r="G7" s="11"/>
    </row>
    <row r="8">
      <c r="A8" s="7" t="s">
        <v>5</v>
      </c>
      <c r="B8" s="8"/>
      <c r="C8" s="9"/>
      <c r="D8" s="10"/>
      <c r="E8" s="10"/>
      <c r="F8" s="10"/>
      <c r="G8" s="11"/>
    </row>
    <row r="9">
      <c r="A9" s="7" t="s">
        <v>6</v>
      </c>
      <c r="B9" s="8"/>
      <c r="C9" s="9"/>
      <c r="D9" s="10"/>
      <c r="E9" s="10"/>
      <c r="F9" s="10"/>
      <c r="G9" s="11"/>
    </row>
    <row r="10">
      <c r="A10" s="12" t="s">
        <v>7</v>
      </c>
      <c r="B10" s="13"/>
      <c r="C10" s="14"/>
      <c r="D10" s="15"/>
      <c r="E10" s="15"/>
      <c r="F10" s="15"/>
      <c r="G10" s="16"/>
    </row>
    <row r="12">
      <c r="A12" s="17" t="s">
        <v>8</v>
      </c>
      <c r="B12" s="5"/>
      <c r="C12" s="5"/>
      <c r="D12" s="5"/>
      <c r="E12" s="3"/>
      <c r="F12" s="18" t="s">
        <v>9</v>
      </c>
      <c r="G12" s="6"/>
    </row>
    <row r="13">
      <c r="A13" s="19" t="s">
        <v>10</v>
      </c>
      <c r="B13" s="10"/>
      <c r="C13" s="10"/>
      <c r="D13" s="10"/>
      <c r="E13" s="8"/>
      <c r="F13" s="20"/>
      <c r="G13" s="11"/>
    </row>
    <row r="14">
      <c r="A14" s="21" t="s">
        <v>11</v>
      </c>
      <c r="B14" s="10"/>
      <c r="C14" s="10"/>
      <c r="D14" s="10"/>
      <c r="E14" s="8"/>
      <c r="F14" s="20" t="str">
        <f>Acad!G12</f>
        <v>#N/A</v>
      </c>
      <c r="G14" s="11"/>
    </row>
    <row r="15">
      <c r="A15" s="21" t="s">
        <v>12</v>
      </c>
      <c r="B15" s="10"/>
      <c r="C15" s="10"/>
      <c r="D15" s="10"/>
      <c r="E15" s="8"/>
      <c r="F15" s="20">
        <f>Acad!G97</f>
        <v>0</v>
      </c>
      <c r="G15" s="11"/>
    </row>
    <row r="16">
      <c r="A16" s="22" t="s">
        <v>13</v>
      </c>
      <c r="B16" s="10"/>
      <c r="C16" s="10"/>
      <c r="D16" s="10"/>
      <c r="E16" s="8"/>
      <c r="F16" s="20" t="str">
        <f>MIN(SUM(MIN(F14,30),MIN(F15,10)),40)</f>
        <v>#N/A</v>
      </c>
      <c r="G16" s="11"/>
    </row>
    <row r="17">
      <c r="A17" s="19" t="s">
        <v>14</v>
      </c>
      <c r="B17" s="10"/>
      <c r="C17" s="10"/>
      <c r="D17" s="10"/>
      <c r="E17" s="8"/>
      <c r="F17" s="20"/>
      <c r="G17" s="11"/>
    </row>
    <row r="18">
      <c r="A18" s="21" t="s">
        <v>15</v>
      </c>
      <c r="B18" s="10"/>
      <c r="C18" s="10"/>
      <c r="D18" s="10"/>
      <c r="E18" s="8"/>
      <c r="F18" s="20">
        <f>'L1'!H71</f>
        <v>6</v>
      </c>
      <c r="G18" s="11"/>
    </row>
    <row r="19">
      <c r="A19" s="21" t="s">
        <v>16</v>
      </c>
      <c r="B19" s="10"/>
      <c r="C19" s="10"/>
      <c r="D19" s="10"/>
      <c r="E19" s="8"/>
      <c r="F19" s="20">
        <f>'L2'!H97</f>
        <v>12</v>
      </c>
      <c r="G19" s="11"/>
    </row>
    <row r="20">
      <c r="A20" s="21" t="s">
        <v>17</v>
      </c>
      <c r="B20" s="10"/>
      <c r="C20" s="10"/>
      <c r="D20" s="10"/>
      <c r="E20" s="8"/>
      <c r="F20" s="20">
        <f>'SC1'!H216</f>
        <v>18</v>
      </c>
      <c r="G20" s="11"/>
    </row>
    <row r="21" ht="15.75" customHeight="1">
      <c r="A21" s="22" t="s">
        <v>13</v>
      </c>
      <c r="B21" s="10"/>
      <c r="C21" s="10"/>
      <c r="D21" s="10"/>
      <c r="E21" s="8"/>
      <c r="F21" s="20">
        <f>MIN((MIN(F18,6))+(MIN(F19,12))+(MIN(F20,12)),30)</f>
        <v>30</v>
      </c>
      <c r="G21" s="11"/>
    </row>
    <row r="22" ht="15.75" customHeight="1">
      <c r="A22" s="19" t="s">
        <v>18</v>
      </c>
      <c r="B22" s="10"/>
      <c r="C22" s="10"/>
      <c r="D22" s="10"/>
      <c r="E22" s="8"/>
      <c r="F22" s="20"/>
      <c r="G22" s="11"/>
    </row>
    <row r="23" ht="15.75" customHeight="1">
      <c r="A23" s="21" t="s">
        <v>19</v>
      </c>
      <c r="B23" s="10"/>
      <c r="C23" s="10"/>
      <c r="D23" s="10"/>
      <c r="E23" s="8"/>
      <c r="F23" s="20">
        <f>'SC1'!H216</f>
        <v>18</v>
      </c>
      <c r="G23" s="11"/>
    </row>
    <row r="24" ht="15.75" customHeight="1">
      <c r="A24" s="21" t="s">
        <v>20</v>
      </c>
      <c r="B24" s="10"/>
      <c r="C24" s="10"/>
      <c r="D24" s="10"/>
      <c r="E24" s="8"/>
      <c r="F24" s="20">
        <f>'SC2'!H216</f>
        <v>12</v>
      </c>
      <c r="G24" s="11"/>
    </row>
    <row r="25" ht="15.75" customHeight="1">
      <c r="A25" s="23" t="s">
        <v>13</v>
      </c>
      <c r="B25" s="15"/>
      <c r="C25" s="15"/>
      <c r="D25" s="15"/>
      <c r="E25" s="13"/>
      <c r="F25" s="24">
        <f>MIN(SUM(MIN(F23,18),MIN(F24,12)),30)</f>
        <v>30</v>
      </c>
      <c r="G25" s="16"/>
    </row>
    <row r="26" ht="15.75" customHeight="1"/>
    <row r="27" ht="15.75" customHeight="1">
      <c r="A27" s="25" t="s">
        <v>21</v>
      </c>
      <c r="B27" s="26"/>
      <c r="C27" s="26"/>
      <c r="D27" s="26"/>
      <c r="E27" s="26"/>
      <c r="F27" s="26"/>
      <c r="G27" s="27"/>
    </row>
    <row r="28" ht="15.75" customHeight="1">
      <c r="A28" s="28"/>
      <c r="G28" s="29"/>
    </row>
    <row r="29" ht="15.75" customHeight="1">
      <c r="A29" s="30" t="s">
        <v>22</v>
      </c>
      <c r="B29" s="31"/>
      <c r="C29" s="31"/>
      <c r="E29" s="32" t="s">
        <v>23</v>
      </c>
      <c r="F29" s="31"/>
      <c r="G29" s="33"/>
    </row>
    <row r="30" ht="15.75" customHeight="1">
      <c r="A30" s="34" t="s">
        <v>24</v>
      </c>
      <c r="E30" s="35" t="s">
        <v>25</v>
      </c>
      <c r="G30" s="36"/>
    </row>
    <row r="31" ht="15.75" customHeight="1">
      <c r="A31" s="37" t="s">
        <v>26</v>
      </c>
      <c r="E31" s="38" t="s">
        <v>26</v>
      </c>
      <c r="G31" s="36"/>
    </row>
    <row r="32" ht="15.75" customHeight="1">
      <c r="A32" s="28"/>
      <c r="G32" s="29"/>
    </row>
    <row r="33" ht="15.75" customHeight="1">
      <c r="A33" s="28"/>
      <c r="C33" s="32" t="s">
        <v>27</v>
      </c>
      <c r="D33" s="31"/>
      <c r="E33" s="31"/>
      <c r="G33" s="29"/>
    </row>
    <row r="34" ht="15.75" customHeight="1">
      <c r="A34" s="28"/>
      <c r="C34" s="35" t="s">
        <v>24</v>
      </c>
      <c r="G34" s="29"/>
    </row>
    <row r="35" ht="15.75" customHeight="1">
      <c r="A35" s="39"/>
      <c r="B35" s="40"/>
      <c r="C35" s="41" t="s">
        <v>26</v>
      </c>
      <c r="D35" s="42"/>
      <c r="E35" s="42"/>
      <c r="F35" s="40"/>
      <c r="G35" s="4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A1:G1"/>
    <mergeCell ref="A2:G2"/>
    <mergeCell ref="A4:G4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F12:G12"/>
    <mergeCell ref="A12:E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8:E18"/>
    <mergeCell ref="F18:G18"/>
    <mergeCell ref="F19:G19"/>
    <mergeCell ref="A19:E19"/>
    <mergeCell ref="A20:E20"/>
    <mergeCell ref="F20:G20"/>
    <mergeCell ref="A21:E21"/>
    <mergeCell ref="F21:G21"/>
    <mergeCell ref="A22:E22"/>
    <mergeCell ref="F22:G22"/>
    <mergeCell ref="A29:C29"/>
    <mergeCell ref="A30:C30"/>
    <mergeCell ref="A31:C31"/>
    <mergeCell ref="E30:G30"/>
    <mergeCell ref="E31:G31"/>
    <mergeCell ref="C33:E33"/>
    <mergeCell ref="C34:E34"/>
    <mergeCell ref="C35:E35"/>
    <mergeCell ref="A23:E23"/>
    <mergeCell ref="F23:G23"/>
    <mergeCell ref="A24:E24"/>
    <mergeCell ref="F24:G24"/>
    <mergeCell ref="A25:E25"/>
    <mergeCell ref="F25:G25"/>
    <mergeCell ref="E29:G29"/>
  </mergeCells>
  <printOptions/>
  <pageMargins bottom="0.75" footer="0.0" header="0.0" left="0.7" right="0.7" top="0.75"/>
  <pageSetup paperSize="5" scale="99" orientation="portrait"/>
  <headerFooter>
    <oddFooter>&amp;CFF0000Leading Innovations, Transforming Lives, Buillding the Nation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4.22"/>
    <col customWidth="1" min="3" max="5" width="10.89"/>
    <col customWidth="1" min="6" max="6" width="13.67"/>
    <col customWidth="1" min="7" max="7" width="12.78"/>
    <col customWidth="1" hidden="1" min="8" max="9" width="10.78"/>
    <col customWidth="1" min="10" max="10" width="10.78"/>
    <col customWidth="1" min="11" max="26" width="10.89"/>
  </cols>
  <sheetData>
    <row r="1">
      <c r="A1" s="1" t="s">
        <v>28</v>
      </c>
      <c r="H1" s="44" t="s">
        <v>29</v>
      </c>
      <c r="I1" s="44" t="s">
        <v>30</v>
      </c>
      <c r="J1" s="45"/>
    </row>
    <row r="2">
      <c r="A2" s="1" t="s">
        <v>1</v>
      </c>
      <c r="H2" s="46">
        <v>1.0</v>
      </c>
      <c r="I2" s="46">
        <v>30.0</v>
      </c>
    </row>
    <row r="3">
      <c r="H3" s="47">
        <v>1.07</v>
      </c>
      <c r="I3" s="47">
        <v>29.0</v>
      </c>
      <c r="J3" s="44" t="s">
        <v>31</v>
      </c>
    </row>
    <row r="4">
      <c r="A4" s="1" t="s">
        <v>32</v>
      </c>
      <c r="H4" s="47">
        <v>1.14</v>
      </c>
      <c r="I4" s="47">
        <v>28.0</v>
      </c>
      <c r="J4" s="44" t="s">
        <v>33</v>
      </c>
    </row>
    <row r="5">
      <c r="H5" s="47">
        <v>1.21</v>
      </c>
      <c r="I5" s="47">
        <v>27.0</v>
      </c>
      <c r="J5" s="44" t="s">
        <v>34</v>
      </c>
    </row>
    <row r="6">
      <c r="A6" s="48" t="s">
        <v>3</v>
      </c>
      <c r="B6" s="3"/>
      <c r="C6" s="49" t="str">
        <f>SUMMARY!C6</f>
        <v/>
      </c>
      <c r="D6" s="5"/>
      <c r="E6" s="5"/>
      <c r="F6" s="5"/>
      <c r="G6" s="6"/>
      <c r="H6" s="47">
        <v>1.28</v>
      </c>
      <c r="I6" s="47">
        <v>26.0</v>
      </c>
      <c r="J6" s="44" t="s">
        <v>35</v>
      </c>
    </row>
    <row r="7">
      <c r="A7" s="19" t="s">
        <v>4</v>
      </c>
      <c r="B7" s="8"/>
      <c r="C7" s="50" t="str">
        <f>SUMMARY!C7</f>
        <v/>
      </c>
      <c r="D7" s="10"/>
      <c r="E7" s="10"/>
      <c r="F7" s="10"/>
      <c r="G7" s="11"/>
      <c r="H7" s="47">
        <v>1.35</v>
      </c>
      <c r="I7" s="47">
        <v>25.0</v>
      </c>
      <c r="J7" s="51" t="s">
        <v>36</v>
      </c>
      <c r="K7" s="51"/>
    </row>
    <row r="8">
      <c r="A8" s="52" t="s">
        <v>5</v>
      </c>
      <c r="B8" s="13"/>
      <c r="C8" s="53" t="str">
        <f>SUMMARY!C8</f>
        <v/>
      </c>
      <c r="D8" s="15"/>
      <c r="E8" s="15"/>
      <c r="F8" s="15"/>
      <c r="G8" s="16"/>
      <c r="H8" s="47">
        <v>1.41</v>
      </c>
      <c r="I8" s="47">
        <v>24.0</v>
      </c>
      <c r="J8" s="44" t="s">
        <v>37</v>
      </c>
    </row>
    <row r="9">
      <c r="H9" s="47">
        <v>1.48</v>
      </c>
      <c r="I9" s="47">
        <v>23.0</v>
      </c>
      <c r="J9" s="44" t="s">
        <v>38</v>
      </c>
    </row>
    <row r="10">
      <c r="A10" s="54" t="s">
        <v>10</v>
      </c>
      <c r="B10" s="5"/>
      <c r="C10" s="5"/>
      <c r="D10" s="5"/>
      <c r="E10" s="55"/>
      <c r="F10" s="56" t="s">
        <v>29</v>
      </c>
      <c r="G10" s="57" t="s">
        <v>39</v>
      </c>
      <c r="H10" s="47">
        <v>1.55</v>
      </c>
      <c r="I10" s="47">
        <v>22.0</v>
      </c>
      <c r="J10" s="44" t="s">
        <v>40</v>
      </c>
    </row>
    <row r="11">
      <c r="A11" s="58" t="s">
        <v>11</v>
      </c>
      <c r="B11" s="10"/>
      <c r="C11" s="10"/>
      <c r="D11" s="10"/>
      <c r="E11" s="8"/>
      <c r="F11" s="59"/>
      <c r="G11" s="60" t="str">
        <f>LOOKUP(F11, H2:H31, I2:I31)</f>
        <v>#N/A</v>
      </c>
      <c r="H11" s="47">
        <v>1.62</v>
      </c>
      <c r="I11" s="47">
        <v>21.0</v>
      </c>
      <c r="J11" s="44" t="s">
        <v>41</v>
      </c>
    </row>
    <row r="12">
      <c r="A12" s="61" t="s">
        <v>13</v>
      </c>
      <c r="B12" s="15"/>
      <c r="C12" s="15"/>
      <c r="D12" s="15"/>
      <c r="E12" s="15"/>
      <c r="F12" s="13"/>
      <c r="G12" s="62" t="str">
        <f>(MIN(SUM(G11),30))</f>
        <v>#N/A</v>
      </c>
      <c r="H12" s="47">
        <v>1.69</v>
      </c>
      <c r="I12" s="47">
        <v>20.0</v>
      </c>
      <c r="J12" s="51" t="s">
        <v>42</v>
      </c>
    </row>
    <row r="13">
      <c r="A13" s="38"/>
      <c r="B13" s="38"/>
      <c r="C13" s="38"/>
      <c r="D13" s="38"/>
      <c r="E13" s="38"/>
      <c r="F13" s="1"/>
      <c r="G13" s="1"/>
      <c r="H13" s="47">
        <v>1.76</v>
      </c>
      <c r="I13" s="47">
        <v>19.0</v>
      </c>
      <c r="K13" s="51"/>
    </row>
    <row r="14" ht="38.25" customHeight="1">
      <c r="A14" s="63" t="s">
        <v>43</v>
      </c>
      <c r="B14" s="5"/>
      <c r="C14" s="5"/>
      <c r="D14" s="5"/>
      <c r="E14" s="5"/>
      <c r="F14" s="5"/>
      <c r="G14" s="6"/>
      <c r="H14" s="64">
        <v>1.83</v>
      </c>
      <c r="I14" s="47">
        <v>18.0</v>
      </c>
    </row>
    <row r="15">
      <c r="A15" s="65" t="s">
        <v>44</v>
      </c>
      <c r="B15" s="10"/>
      <c r="C15" s="10"/>
      <c r="D15" s="10"/>
      <c r="E15" s="10"/>
      <c r="F15" s="10"/>
      <c r="G15" s="11"/>
      <c r="H15" s="64">
        <v>1.9</v>
      </c>
      <c r="I15" s="47">
        <v>17.0</v>
      </c>
    </row>
    <row r="16" ht="30.75" customHeight="1">
      <c r="A16" s="66" t="s">
        <v>45</v>
      </c>
      <c r="B16" s="8"/>
      <c r="C16" s="67" t="s">
        <v>46</v>
      </c>
      <c r="D16" s="10"/>
      <c r="E16" s="8"/>
      <c r="F16" s="68" t="s">
        <v>47</v>
      </c>
      <c r="G16" s="69" t="s">
        <v>48</v>
      </c>
      <c r="H16" s="64">
        <v>1.97</v>
      </c>
      <c r="I16" s="47">
        <v>16.0</v>
      </c>
    </row>
    <row r="17">
      <c r="A17" s="70"/>
      <c r="B17" s="8"/>
      <c r="C17" s="71"/>
      <c r="D17" s="10"/>
      <c r="E17" s="8"/>
      <c r="F17" s="72"/>
      <c r="G17" s="73" t="str">
        <f t="shared" ref="G17:G35" si="1">IF(F17="", "", IF(F17="First Place", 3, IF(F17="Second Place", 2, IF(F17="Third Place", 1, IF(OR(F17="Fourth Place", F17="Fifth Place", F17="Sixth Place", F17="Seventh Place", F17="Eighth Place", F17="Ninth Place", F17="Tenth Place"), 0.5, 0)))))</f>
        <v/>
      </c>
      <c r="H17" s="74">
        <v>2.03</v>
      </c>
      <c r="I17" s="46">
        <v>15.0</v>
      </c>
    </row>
    <row r="18">
      <c r="A18" s="70"/>
      <c r="B18" s="8"/>
      <c r="C18" s="71"/>
      <c r="D18" s="10"/>
      <c r="E18" s="8"/>
      <c r="F18" s="72"/>
      <c r="G18" s="73" t="str">
        <f t="shared" si="1"/>
        <v/>
      </c>
      <c r="H18" s="64">
        <v>2.1</v>
      </c>
      <c r="I18" s="47">
        <v>14.0</v>
      </c>
    </row>
    <row r="19">
      <c r="A19" s="70"/>
      <c r="B19" s="8"/>
      <c r="C19" s="71"/>
      <c r="D19" s="10"/>
      <c r="E19" s="8"/>
      <c r="F19" s="72"/>
      <c r="G19" s="73" t="str">
        <f t="shared" si="1"/>
        <v/>
      </c>
      <c r="H19" s="64">
        <v>2.17</v>
      </c>
      <c r="I19" s="47">
        <v>13.0</v>
      </c>
    </row>
    <row r="20">
      <c r="A20" s="70"/>
      <c r="B20" s="8"/>
      <c r="C20" s="71"/>
      <c r="D20" s="10"/>
      <c r="E20" s="8"/>
      <c r="F20" s="72"/>
      <c r="G20" s="73" t="str">
        <f t="shared" si="1"/>
        <v/>
      </c>
      <c r="H20" s="64">
        <v>2.24</v>
      </c>
      <c r="I20" s="47">
        <v>12.0</v>
      </c>
    </row>
    <row r="21" ht="15.75" customHeight="1">
      <c r="A21" s="70"/>
      <c r="B21" s="8"/>
      <c r="C21" s="71"/>
      <c r="D21" s="10"/>
      <c r="E21" s="8"/>
      <c r="F21" s="72"/>
      <c r="G21" s="73" t="str">
        <f t="shared" si="1"/>
        <v/>
      </c>
      <c r="H21" s="64">
        <v>2.31</v>
      </c>
      <c r="I21" s="47">
        <v>11.0</v>
      </c>
    </row>
    <row r="22" ht="15.75" customHeight="1">
      <c r="A22" s="70"/>
      <c r="B22" s="8"/>
      <c r="C22" s="71"/>
      <c r="D22" s="10"/>
      <c r="E22" s="8"/>
      <c r="F22" s="72"/>
      <c r="G22" s="73" t="str">
        <f t="shared" si="1"/>
        <v/>
      </c>
      <c r="H22" s="64">
        <v>2.38</v>
      </c>
      <c r="I22" s="47">
        <v>10.0</v>
      </c>
    </row>
    <row r="23" ht="15.75" customHeight="1">
      <c r="A23" s="70"/>
      <c r="B23" s="8"/>
      <c r="C23" s="71"/>
      <c r="D23" s="10"/>
      <c r="E23" s="8"/>
      <c r="F23" s="72"/>
      <c r="G23" s="73" t="str">
        <f t="shared" si="1"/>
        <v/>
      </c>
      <c r="H23" s="64">
        <v>2.45</v>
      </c>
      <c r="I23" s="47">
        <v>9.0</v>
      </c>
    </row>
    <row r="24" ht="15.75" customHeight="1">
      <c r="A24" s="70"/>
      <c r="B24" s="8"/>
      <c r="C24" s="71"/>
      <c r="D24" s="10"/>
      <c r="E24" s="8"/>
      <c r="F24" s="72"/>
      <c r="G24" s="73" t="str">
        <f t="shared" si="1"/>
        <v/>
      </c>
      <c r="H24" s="64">
        <v>2.52</v>
      </c>
      <c r="I24" s="47">
        <v>8.0</v>
      </c>
    </row>
    <row r="25" ht="15.75" customHeight="1">
      <c r="A25" s="70"/>
      <c r="B25" s="8"/>
      <c r="C25" s="71"/>
      <c r="D25" s="10"/>
      <c r="E25" s="8"/>
      <c r="F25" s="72"/>
      <c r="G25" s="73" t="str">
        <f t="shared" si="1"/>
        <v/>
      </c>
      <c r="H25" s="64">
        <v>2.59</v>
      </c>
      <c r="I25" s="47">
        <v>7.0</v>
      </c>
    </row>
    <row r="26" ht="15.75" customHeight="1">
      <c r="A26" s="70"/>
      <c r="B26" s="8"/>
      <c r="C26" s="71"/>
      <c r="D26" s="10"/>
      <c r="E26" s="8"/>
      <c r="F26" s="72"/>
      <c r="G26" s="73" t="str">
        <f t="shared" si="1"/>
        <v/>
      </c>
      <c r="H26" s="64">
        <v>2.66</v>
      </c>
      <c r="I26" s="47">
        <v>6.0</v>
      </c>
    </row>
    <row r="27" ht="15.75" customHeight="1">
      <c r="A27" s="70"/>
      <c r="B27" s="8"/>
      <c r="C27" s="71"/>
      <c r="D27" s="10"/>
      <c r="E27" s="8"/>
      <c r="F27" s="72"/>
      <c r="G27" s="73" t="str">
        <f t="shared" si="1"/>
        <v/>
      </c>
      <c r="H27" s="64">
        <v>2.72</v>
      </c>
      <c r="I27" s="47">
        <v>5.0</v>
      </c>
    </row>
    <row r="28" ht="15.75" customHeight="1">
      <c r="A28" s="70"/>
      <c r="B28" s="8"/>
      <c r="C28" s="71"/>
      <c r="D28" s="10"/>
      <c r="E28" s="8"/>
      <c r="F28" s="72"/>
      <c r="G28" s="73" t="str">
        <f t="shared" si="1"/>
        <v/>
      </c>
      <c r="H28" s="64">
        <v>2.79</v>
      </c>
      <c r="I28" s="47">
        <v>4.0</v>
      </c>
    </row>
    <row r="29" ht="15.75" customHeight="1">
      <c r="A29" s="70"/>
      <c r="B29" s="8"/>
      <c r="C29" s="71"/>
      <c r="D29" s="10"/>
      <c r="E29" s="8"/>
      <c r="F29" s="72"/>
      <c r="G29" s="73" t="str">
        <f t="shared" si="1"/>
        <v/>
      </c>
      <c r="H29" s="64">
        <v>2.86</v>
      </c>
      <c r="I29" s="47">
        <v>3.0</v>
      </c>
    </row>
    <row r="30" ht="15.75" customHeight="1">
      <c r="A30" s="70"/>
      <c r="B30" s="8"/>
      <c r="C30" s="71"/>
      <c r="D30" s="10"/>
      <c r="E30" s="8"/>
      <c r="F30" s="72"/>
      <c r="G30" s="73" t="str">
        <f t="shared" si="1"/>
        <v/>
      </c>
      <c r="H30" s="64">
        <v>2.93</v>
      </c>
      <c r="I30" s="47">
        <v>2.0</v>
      </c>
    </row>
    <row r="31" ht="15.75" customHeight="1">
      <c r="A31" s="70"/>
      <c r="B31" s="8"/>
      <c r="C31" s="71"/>
      <c r="D31" s="10"/>
      <c r="E31" s="8"/>
      <c r="F31" s="72"/>
      <c r="G31" s="73" t="str">
        <f t="shared" si="1"/>
        <v/>
      </c>
      <c r="H31" s="64">
        <v>3.0</v>
      </c>
      <c r="I31" s="47">
        <v>1.0</v>
      </c>
    </row>
    <row r="32" ht="15.75" customHeight="1">
      <c r="A32" s="70"/>
      <c r="B32" s="8"/>
      <c r="C32" s="71"/>
      <c r="D32" s="10"/>
      <c r="E32" s="8"/>
      <c r="F32" s="72"/>
      <c r="G32" s="73" t="str">
        <f t="shared" si="1"/>
        <v/>
      </c>
    </row>
    <row r="33" ht="15.75" customHeight="1">
      <c r="A33" s="70"/>
      <c r="B33" s="8"/>
      <c r="C33" s="71"/>
      <c r="D33" s="10"/>
      <c r="E33" s="8"/>
      <c r="F33" s="72"/>
      <c r="G33" s="73" t="str">
        <f t="shared" si="1"/>
        <v/>
      </c>
    </row>
    <row r="34" ht="15.75" customHeight="1">
      <c r="A34" s="70"/>
      <c r="B34" s="8"/>
      <c r="C34" s="71"/>
      <c r="D34" s="10"/>
      <c r="E34" s="8"/>
      <c r="F34" s="72"/>
      <c r="G34" s="73" t="str">
        <f t="shared" si="1"/>
        <v/>
      </c>
    </row>
    <row r="35" ht="15.75" customHeight="1">
      <c r="A35" s="70"/>
      <c r="B35" s="8"/>
      <c r="C35" s="71"/>
      <c r="D35" s="10"/>
      <c r="E35" s="8"/>
      <c r="F35" s="72"/>
      <c r="G35" s="73" t="str">
        <f t="shared" si="1"/>
        <v/>
      </c>
    </row>
    <row r="36" ht="15.75" customHeight="1">
      <c r="A36" s="61" t="s">
        <v>49</v>
      </c>
      <c r="B36" s="15"/>
      <c r="C36" s="15"/>
      <c r="D36" s="15"/>
      <c r="E36" s="15"/>
      <c r="F36" s="13"/>
      <c r="G36" s="75">
        <f>SUM(G17:G35)</f>
        <v>0</v>
      </c>
    </row>
    <row r="37" ht="15.75" customHeight="1">
      <c r="A37" s="76" t="s">
        <v>50</v>
      </c>
      <c r="B37" s="5"/>
      <c r="C37" s="5"/>
      <c r="D37" s="5"/>
      <c r="E37" s="5"/>
      <c r="F37" s="5"/>
      <c r="G37" s="6"/>
    </row>
    <row r="38" ht="30.0" customHeight="1">
      <c r="A38" s="66" t="s">
        <v>45</v>
      </c>
      <c r="B38" s="8"/>
      <c r="C38" s="67" t="s">
        <v>46</v>
      </c>
      <c r="D38" s="10"/>
      <c r="E38" s="8"/>
      <c r="F38" s="68" t="s">
        <v>47</v>
      </c>
      <c r="G38" s="69" t="s">
        <v>48</v>
      </c>
    </row>
    <row r="39" ht="15.75" customHeight="1">
      <c r="A39" s="70"/>
      <c r="B39" s="8"/>
      <c r="C39" s="71"/>
      <c r="D39" s="10"/>
      <c r="E39" s="8"/>
      <c r="F39" s="72"/>
      <c r="G39" s="73" t="str">
        <f t="shared" ref="G39:G58" si="2">IF(F39="", "", IF(F39="First Place", 2, IF(F39="Second Place", 1, IF(F39="Third Place", 0.5, IF(OR(F39="Fourth Place", F39="Fifth Place", F39="Sixth Place", F39="Seventh Place", F39="Eighth Place", F39="Ninth Place", F39="Tenth Place"), 0.25, 0)))))</f>
        <v/>
      </c>
    </row>
    <row r="40" ht="15.75" customHeight="1">
      <c r="A40" s="70"/>
      <c r="B40" s="8"/>
      <c r="C40" s="71"/>
      <c r="D40" s="10"/>
      <c r="E40" s="8"/>
      <c r="F40" s="72"/>
      <c r="G40" s="73" t="str">
        <f t="shared" si="2"/>
        <v/>
      </c>
    </row>
    <row r="41" ht="15.75" customHeight="1">
      <c r="A41" s="70"/>
      <c r="B41" s="8"/>
      <c r="C41" s="71"/>
      <c r="D41" s="10"/>
      <c r="E41" s="8"/>
      <c r="F41" s="72"/>
      <c r="G41" s="73" t="str">
        <f t="shared" si="2"/>
        <v/>
      </c>
    </row>
    <row r="42" ht="15.75" customHeight="1">
      <c r="A42" s="70"/>
      <c r="B42" s="8"/>
      <c r="C42" s="71"/>
      <c r="D42" s="10"/>
      <c r="E42" s="8"/>
      <c r="F42" s="72"/>
      <c r="G42" s="73" t="str">
        <f t="shared" si="2"/>
        <v/>
      </c>
    </row>
    <row r="43" ht="15.75" customHeight="1">
      <c r="A43" s="70"/>
      <c r="B43" s="8"/>
      <c r="C43" s="71"/>
      <c r="D43" s="10"/>
      <c r="E43" s="8"/>
      <c r="F43" s="72"/>
      <c r="G43" s="73" t="str">
        <f t="shared" si="2"/>
        <v/>
      </c>
    </row>
    <row r="44" ht="15.75" customHeight="1">
      <c r="A44" s="70"/>
      <c r="B44" s="8"/>
      <c r="C44" s="71"/>
      <c r="D44" s="10"/>
      <c r="E44" s="8"/>
      <c r="F44" s="72"/>
      <c r="G44" s="73" t="str">
        <f t="shared" si="2"/>
        <v/>
      </c>
    </row>
    <row r="45" ht="15.75" customHeight="1">
      <c r="A45" s="70"/>
      <c r="B45" s="8"/>
      <c r="C45" s="71"/>
      <c r="D45" s="10"/>
      <c r="E45" s="8"/>
      <c r="F45" s="72"/>
      <c r="G45" s="73" t="str">
        <f t="shared" si="2"/>
        <v/>
      </c>
    </row>
    <row r="46" ht="15.75" customHeight="1">
      <c r="A46" s="70"/>
      <c r="B46" s="8"/>
      <c r="C46" s="71"/>
      <c r="D46" s="10"/>
      <c r="E46" s="8"/>
      <c r="F46" s="72"/>
      <c r="G46" s="73" t="str">
        <f t="shared" si="2"/>
        <v/>
      </c>
    </row>
    <row r="47" ht="15.75" customHeight="1">
      <c r="A47" s="70"/>
      <c r="B47" s="8"/>
      <c r="C47" s="71"/>
      <c r="D47" s="10"/>
      <c r="E47" s="8"/>
      <c r="F47" s="72"/>
      <c r="G47" s="73" t="str">
        <f t="shared" si="2"/>
        <v/>
      </c>
    </row>
    <row r="48" ht="15.75" customHeight="1">
      <c r="A48" s="70"/>
      <c r="B48" s="8"/>
      <c r="C48" s="71"/>
      <c r="D48" s="10"/>
      <c r="E48" s="8"/>
      <c r="F48" s="72"/>
      <c r="G48" s="73" t="str">
        <f t="shared" si="2"/>
        <v/>
      </c>
    </row>
    <row r="49" ht="15.75" customHeight="1">
      <c r="A49" s="70"/>
      <c r="B49" s="8"/>
      <c r="C49" s="71"/>
      <c r="D49" s="10"/>
      <c r="E49" s="8"/>
      <c r="F49" s="72"/>
      <c r="G49" s="73" t="str">
        <f t="shared" si="2"/>
        <v/>
      </c>
    </row>
    <row r="50" ht="15.75" customHeight="1">
      <c r="A50" s="70"/>
      <c r="B50" s="8"/>
      <c r="C50" s="71"/>
      <c r="D50" s="10"/>
      <c r="E50" s="8"/>
      <c r="F50" s="72"/>
      <c r="G50" s="73" t="str">
        <f t="shared" si="2"/>
        <v/>
      </c>
    </row>
    <row r="51" ht="15.75" customHeight="1">
      <c r="A51" s="70"/>
      <c r="B51" s="8"/>
      <c r="C51" s="71"/>
      <c r="D51" s="10"/>
      <c r="E51" s="8"/>
      <c r="F51" s="72"/>
      <c r="G51" s="73" t="str">
        <f t="shared" si="2"/>
        <v/>
      </c>
    </row>
    <row r="52" ht="15.75" customHeight="1">
      <c r="A52" s="70"/>
      <c r="B52" s="8"/>
      <c r="C52" s="71"/>
      <c r="D52" s="10"/>
      <c r="E52" s="8"/>
      <c r="F52" s="72"/>
      <c r="G52" s="73" t="str">
        <f t="shared" si="2"/>
        <v/>
      </c>
    </row>
    <row r="53" ht="15.75" customHeight="1">
      <c r="A53" s="70"/>
      <c r="B53" s="8"/>
      <c r="C53" s="71"/>
      <c r="D53" s="10"/>
      <c r="E53" s="8"/>
      <c r="F53" s="72"/>
      <c r="G53" s="73" t="str">
        <f t="shared" si="2"/>
        <v/>
      </c>
    </row>
    <row r="54" ht="15.75" customHeight="1">
      <c r="A54" s="70"/>
      <c r="B54" s="8"/>
      <c r="C54" s="71"/>
      <c r="D54" s="10"/>
      <c r="E54" s="8"/>
      <c r="F54" s="72"/>
      <c r="G54" s="73" t="str">
        <f t="shared" si="2"/>
        <v/>
      </c>
    </row>
    <row r="55" ht="15.75" customHeight="1">
      <c r="A55" s="70"/>
      <c r="B55" s="8"/>
      <c r="C55" s="71"/>
      <c r="D55" s="10"/>
      <c r="E55" s="8"/>
      <c r="F55" s="72"/>
      <c r="G55" s="73" t="str">
        <f t="shared" si="2"/>
        <v/>
      </c>
    </row>
    <row r="56" ht="15.75" customHeight="1">
      <c r="A56" s="70"/>
      <c r="B56" s="8"/>
      <c r="C56" s="71"/>
      <c r="D56" s="10"/>
      <c r="E56" s="8"/>
      <c r="F56" s="72"/>
      <c r="G56" s="73" t="str">
        <f t="shared" si="2"/>
        <v/>
      </c>
    </row>
    <row r="57" ht="15.75" customHeight="1">
      <c r="A57" s="70"/>
      <c r="B57" s="8"/>
      <c r="C57" s="71"/>
      <c r="D57" s="10"/>
      <c r="E57" s="8"/>
      <c r="F57" s="72"/>
      <c r="G57" s="73" t="str">
        <f t="shared" si="2"/>
        <v/>
      </c>
    </row>
    <row r="58" ht="15.75" customHeight="1">
      <c r="A58" s="70"/>
      <c r="B58" s="8"/>
      <c r="C58" s="71"/>
      <c r="D58" s="10"/>
      <c r="E58" s="8"/>
      <c r="F58" s="72"/>
      <c r="G58" s="73" t="str">
        <f t="shared" si="2"/>
        <v/>
      </c>
    </row>
    <row r="59" ht="15.75" customHeight="1">
      <c r="A59" s="61" t="s">
        <v>49</v>
      </c>
      <c r="B59" s="15"/>
      <c r="C59" s="15"/>
      <c r="D59" s="15"/>
      <c r="E59" s="15"/>
      <c r="F59" s="13"/>
      <c r="G59" s="75">
        <f>SUM(G39:G58)</f>
        <v>0</v>
      </c>
    </row>
    <row r="60" ht="15.75" customHeight="1">
      <c r="A60" s="76" t="s">
        <v>51</v>
      </c>
      <c r="B60" s="5"/>
      <c r="C60" s="5"/>
      <c r="D60" s="5"/>
      <c r="E60" s="5"/>
      <c r="F60" s="5"/>
      <c r="G60" s="6"/>
    </row>
    <row r="61" ht="30.0" customHeight="1">
      <c r="A61" s="66" t="s">
        <v>45</v>
      </c>
      <c r="B61" s="8"/>
      <c r="C61" s="67" t="s">
        <v>46</v>
      </c>
      <c r="D61" s="10"/>
      <c r="E61" s="8"/>
      <c r="F61" s="68" t="s">
        <v>47</v>
      </c>
      <c r="G61" s="69" t="s">
        <v>48</v>
      </c>
    </row>
    <row r="62" ht="15.75" customHeight="1">
      <c r="A62" s="70"/>
      <c r="B62" s="8"/>
      <c r="C62" s="71"/>
      <c r="D62" s="10"/>
      <c r="E62" s="8"/>
      <c r="F62" s="72"/>
      <c r="G62" s="73" t="str">
        <f t="shared" ref="G62:G91" si="3">IF(F62="", "", IF(F62="First Place", 1, IF(F62="Second Place", 0.5, IF(F62="Third Place", 0.25, IF(OR(F62="Fourth Place", F62="Fifth Place", F62="Sixth Place", F62="Seventh Place", F62="Eighth Place", F62="Ninth Place", F62="Tenth Place"), 0.125, 0)))))</f>
        <v/>
      </c>
    </row>
    <row r="63" ht="15.75" customHeight="1">
      <c r="A63" s="70"/>
      <c r="B63" s="8"/>
      <c r="C63" s="71"/>
      <c r="D63" s="10"/>
      <c r="E63" s="8"/>
      <c r="F63" s="72"/>
      <c r="G63" s="73" t="str">
        <f t="shared" si="3"/>
        <v/>
      </c>
    </row>
    <row r="64" ht="15.75" customHeight="1">
      <c r="A64" s="70"/>
      <c r="B64" s="8"/>
      <c r="C64" s="71"/>
      <c r="D64" s="10"/>
      <c r="E64" s="8"/>
      <c r="F64" s="72"/>
      <c r="G64" s="73" t="str">
        <f t="shared" si="3"/>
        <v/>
      </c>
    </row>
    <row r="65" ht="15.75" customHeight="1">
      <c r="A65" s="70"/>
      <c r="B65" s="8"/>
      <c r="C65" s="71"/>
      <c r="D65" s="10"/>
      <c r="E65" s="8"/>
      <c r="F65" s="72"/>
      <c r="G65" s="73" t="str">
        <f t="shared" si="3"/>
        <v/>
      </c>
    </row>
    <row r="66" ht="15.75" customHeight="1">
      <c r="A66" s="70"/>
      <c r="B66" s="8"/>
      <c r="C66" s="71"/>
      <c r="D66" s="10"/>
      <c r="E66" s="8"/>
      <c r="F66" s="72"/>
      <c r="G66" s="73" t="str">
        <f t="shared" si="3"/>
        <v/>
      </c>
    </row>
    <row r="67" ht="15.75" customHeight="1">
      <c r="A67" s="70"/>
      <c r="B67" s="8"/>
      <c r="C67" s="71"/>
      <c r="D67" s="10"/>
      <c r="E67" s="8"/>
      <c r="F67" s="72"/>
      <c r="G67" s="73" t="str">
        <f t="shared" si="3"/>
        <v/>
      </c>
    </row>
    <row r="68" ht="15.75" customHeight="1">
      <c r="A68" s="70"/>
      <c r="B68" s="8"/>
      <c r="C68" s="71"/>
      <c r="D68" s="10"/>
      <c r="E68" s="8"/>
      <c r="F68" s="72"/>
      <c r="G68" s="73" t="str">
        <f t="shared" si="3"/>
        <v/>
      </c>
    </row>
    <row r="69" ht="15.75" customHeight="1">
      <c r="A69" s="70"/>
      <c r="B69" s="8"/>
      <c r="C69" s="71"/>
      <c r="D69" s="10"/>
      <c r="E69" s="8"/>
      <c r="F69" s="72"/>
      <c r="G69" s="73" t="str">
        <f t="shared" si="3"/>
        <v/>
      </c>
    </row>
    <row r="70" ht="15.75" customHeight="1">
      <c r="A70" s="70"/>
      <c r="B70" s="8"/>
      <c r="C70" s="71"/>
      <c r="D70" s="10"/>
      <c r="E70" s="8"/>
      <c r="F70" s="72"/>
      <c r="G70" s="73" t="str">
        <f t="shared" si="3"/>
        <v/>
      </c>
    </row>
    <row r="71" ht="15.75" customHeight="1">
      <c r="A71" s="70"/>
      <c r="B71" s="8"/>
      <c r="C71" s="71"/>
      <c r="D71" s="10"/>
      <c r="E71" s="8"/>
      <c r="F71" s="72"/>
      <c r="G71" s="73" t="str">
        <f t="shared" si="3"/>
        <v/>
      </c>
    </row>
    <row r="72" ht="15.75" customHeight="1">
      <c r="A72" s="70"/>
      <c r="B72" s="8"/>
      <c r="C72" s="71"/>
      <c r="D72" s="10"/>
      <c r="E72" s="8"/>
      <c r="F72" s="72"/>
      <c r="G72" s="73" t="str">
        <f t="shared" si="3"/>
        <v/>
      </c>
    </row>
    <row r="73" ht="15.75" customHeight="1">
      <c r="A73" s="70"/>
      <c r="B73" s="8"/>
      <c r="C73" s="71"/>
      <c r="D73" s="10"/>
      <c r="E73" s="8"/>
      <c r="F73" s="72"/>
      <c r="G73" s="73" t="str">
        <f t="shared" si="3"/>
        <v/>
      </c>
    </row>
    <row r="74" ht="15.75" customHeight="1">
      <c r="A74" s="70"/>
      <c r="B74" s="8"/>
      <c r="C74" s="71"/>
      <c r="D74" s="10"/>
      <c r="E74" s="8"/>
      <c r="F74" s="72"/>
      <c r="G74" s="73" t="str">
        <f t="shared" si="3"/>
        <v/>
      </c>
    </row>
    <row r="75" ht="15.75" customHeight="1">
      <c r="A75" s="70"/>
      <c r="B75" s="8"/>
      <c r="C75" s="71"/>
      <c r="D75" s="10"/>
      <c r="E75" s="8"/>
      <c r="F75" s="72"/>
      <c r="G75" s="73" t="str">
        <f t="shared" si="3"/>
        <v/>
      </c>
    </row>
    <row r="76" ht="15.75" customHeight="1">
      <c r="A76" s="70"/>
      <c r="B76" s="8"/>
      <c r="C76" s="71"/>
      <c r="D76" s="10"/>
      <c r="E76" s="8"/>
      <c r="F76" s="72"/>
      <c r="G76" s="73" t="str">
        <f t="shared" si="3"/>
        <v/>
      </c>
    </row>
    <row r="77" ht="15.75" customHeight="1">
      <c r="A77" s="70"/>
      <c r="B77" s="8"/>
      <c r="C77" s="71"/>
      <c r="D77" s="10"/>
      <c r="E77" s="8"/>
      <c r="F77" s="72"/>
      <c r="G77" s="73" t="str">
        <f t="shared" si="3"/>
        <v/>
      </c>
    </row>
    <row r="78" ht="15.75" customHeight="1">
      <c r="A78" s="70"/>
      <c r="B78" s="8"/>
      <c r="C78" s="71"/>
      <c r="D78" s="10"/>
      <c r="E78" s="8"/>
      <c r="F78" s="72"/>
      <c r="G78" s="73" t="str">
        <f t="shared" si="3"/>
        <v/>
      </c>
    </row>
    <row r="79" ht="15.75" customHeight="1">
      <c r="A79" s="70"/>
      <c r="B79" s="8"/>
      <c r="C79" s="71"/>
      <c r="D79" s="10"/>
      <c r="E79" s="8"/>
      <c r="F79" s="72"/>
      <c r="G79" s="73" t="str">
        <f t="shared" si="3"/>
        <v/>
      </c>
    </row>
    <row r="80" ht="15.75" customHeight="1">
      <c r="A80" s="70"/>
      <c r="B80" s="8"/>
      <c r="C80" s="71"/>
      <c r="D80" s="10"/>
      <c r="E80" s="8"/>
      <c r="F80" s="72"/>
      <c r="G80" s="73" t="str">
        <f t="shared" si="3"/>
        <v/>
      </c>
    </row>
    <row r="81" ht="15.75" customHeight="1">
      <c r="A81" s="70"/>
      <c r="B81" s="8"/>
      <c r="C81" s="71"/>
      <c r="D81" s="10"/>
      <c r="E81" s="8"/>
      <c r="F81" s="72"/>
      <c r="G81" s="73" t="str">
        <f t="shared" si="3"/>
        <v/>
      </c>
    </row>
    <row r="82" ht="15.75" customHeight="1">
      <c r="A82" s="70"/>
      <c r="B82" s="8"/>
      <c r="C82" s="71"/>
      <c r="D82" s="10"/>
      <c r="E82" s="8"/>
      <c r="F82" s="72"/>
      <c r="G82" s="73" t="str">
        <f t="shared" si="3"/>
        <v/>
      </c>
    </row>
    <row r="83" ht="15.75" customHeight="1">
      <c r="A83" s="70"/>
      <c r="B83" s="8"/>
      <c r="C83" s="71"/>
      <c r="D83" s="10"/>
      <c r="E83" s="8"/>
      <c r="F83" s="72"/>
      <c r="G83" s="73" t="str">
        <f t="shared" si="3"/>
        <v/>
      </c>
    </row>
    <row r="84" ht="15.75" customHeight="1">
      <c r="A84" s="70"/>
      <c r="B84" s="8"/>
      <c r="C84" s="71"/>
      <c r="D84" s="10"/>
      <c r="E84" s="8"/>
      <c r="F84" s="72"/>
      <c r="G84" s="73" t="str">
        <f t="shared" si="3"/>
        <v/>
      </c>
    </row>
    <row r="85" ht="15.75" customHeight="1">
      <c r="A85" s="70"/>
      <c r="B85" s="8"/>
      <c r="C85" s="71"/>
      <c r="D85" s="10"/>
      <c r="E85" s="8"/>
      <c r="F85" s="72"/>
      <c r="G85" s="73" t="str">
        <f t="shared" si="3"/>
        <v/>
      </c>
    </row>
    <row r="86" ht="15.75" customHeight="1">
      <c r="A86" s="77"/>
      <c r="B86" s="8"/>
      <c r="C86" s="78"/>
      <c r="D86" s="10"/>
      <c r="E86" s="8"/>
      <c r="F86" s="72"/>
      <c r="G86" s="73" t="str">
        <f t="shared" si="3"/>
        <v/>
      </c>
    </row>
    <row r="87" ht="15.75" customHeight="1">
      <c r="A87" s="77"/>
      <c r="B87" s="8"/>
      <c r="C87" s="78"/>
      <c r="D87" s="10"/>
      <c r="E87" s="8"/>
      <c r="F87" s="72"/>
      <c r="G87" s="73" t="str">
        <f t="shared" si="3"/>
        <v/>
      </c>
    </row>
    <row r="88" ht="15.75" customHeight="1">
      <c r="A88" s="77"/>
      <c r="B88" s="8"/>
      <c r="C88" s="78"/>
      <c r="D88" s="10"/>
      <c r="E88" s="8"/>
      <c r="F88" s="72"/>
      <c r="G88" s="73" t="str">
        <f t="shared" si="3"/>
        <v/>
      </c>
    </row>
    <row r="89" ht="15.75" customHeight="1">
      <c r="A89" s="77"/>
      <c r="B89" s="8"/>
      <c r="C89" s="78"/>
      <c r="D89" s="10"/>
      <c r="E89" s="8"/>
      <c r="F89" s="72"/>
      <c r="G89" s="73" t="str">
        <f t="shared" si="3"/>
        <v/>
      </c>
    </row>
    <row r="90" ht="15.75" customHeight="1">
      <c r="A90" s="77"/>
      <c r="B90" s="8"/>
      <c r="C90" s="78"/>
      <c r="D90" s="10"/>
      <c r="E90" s="8"/>
      <c r="F90" s="72"/>
      <c r="G90" s="73" t="str">
        <f t="shared" si="3"/>
        <v/>
      </c>
    </row>
    <row r="91" ht="15.75" customHeight="1">
      <c r="A91" s="77"/>
      <c r="B91" s="8"/>
      <c r="C91" s="78"/>
      <c r="D91" s="10"/>
      <c r="E91" s="8"/>
      <c r="F91" s="72"/>
      <c r="G91" s="73" t="str">
        <f t="shared" si="3"/>
        <v/>
      </c>
    </row>
    <row r="92" ht="15.75" customHeight="1">
      <c r="A92" s="61" t="s">
        <v>49</v>
      </c>
      <c r="B92" s="15"/>
      <c r="C92" s="15"/>
      <c r="D92" s="15"/>
      <c r="E92" s="15"/>
      <c r="F92" s="13"/>
      <c r="G92" s="75">
        <f>SUM(G62:G91)</f>
        <v>0</v>
      </c>
    </row>
    <row r="93" ht="15.75" customHeight="1">
      <c r="A93" s="79"/>
      <c r="B93" s="79"/>
      <c r="C93" s="79"/>
      <c r="D93" s="79"/>
      <c r="E93" s="79"/>
      <c r="F93" s="79"/>
      <c r="G93" s="80"/>
    </row>
    <row r="94" ht="15.0" customHeight="1">
      <c r="A94" s="48" t="s">
        <v>52</v>
      </c>
      <c r="B94" s="5"/>
      <c r="C94" s="5"/>
      <c r="D94" s="5"/>
      <c r="E94" s="3"/>
      <c r="F94" s="81" t="s">
        <v>49</v>
      </c>
      <c r="G94" s="82">
        <f>G36</f>
        <v>0</v>
      </c>
    </row>
    <row r="95" ht="15.75" customHeight="1">
      <c r="A95" s="19" t="s">
        <v>53</v>
      </c>
      <c r="B95" s="10"/>
      <c r="C95" s="10"/>
      <c r="D95" s="10"/>
      <c r="E95" s="8"/>
      <c r="F95" s="83" t="s">
        <v>49</v>
      </c>
      <c r="G95" s="84">
        <f>G59</f>
        <v>0</v>
      </c>
    </row>
    <row r="96" ht="15.75" customHeight="1">
      <c r="A96" s="19" t="s">
        <v>54</v>
      </c>
      <c r="B96" s="10"/>
      <c r="C96" s="10"/>
      <c r="D96" s="10"/>
      <c r="E96" s="8"/>
      <c r="F96" s="83" t="s">
        <v>49</v>
      </c>
      <c r="G96" s="84">
        <f>G92</f>
        <v>0</v>
      </c>
    </row>
    <row r="97" ht="15.75" customHeight="1">
      <c r="A97" s="61" t="s">
        <v>13</v>
      </c>
      <c r="B97" s="15"/>
      <c r="C97" s="15"/>
      <c r="D97" s="15"/>
      <c r="E97" s="15"/>
      <c r="F97" s="13"/>
      <c r="G97" s="75">
        <f>MIN(SUM(G94:G96),10)</f>
        <v>0</v>
      </c>
    </row>
    <row r="98" ht="15.75" customHeight="1">
      <c r="A98" s="79"/>
      <c r="B98" s="79"/>
      <c r="C98" s="79"/>
      <c r="D98" s="79"/>
      <c r="E98" s="79"/>
      <c r="F98" s="79"/>
      <c r="G98" s="80"/>
    </row>
    <row r="99" ht="15.75" customHeight="1">
      <c r="A99" s="79"/>
      <c r="B99" s="79"/>
      <c r="C99" s="79"/>
      <c r="D99" s="79"/>
      <c r="E99" s="79"/>
      <c r="F99" s="79"/>
      <c r="G99" s="80"/>
    </row>
    <row r="100" ht="15.75" customHeight="1">
      <c r="A100" s="79"/>
      <c r="B100" s="79"/>
      <c r="C100" s="79"/>
      <c r="D100" s="79"/>
      <c r="E100" s="79"/>
      <c r="F100" s="79"/>
      <c r="G100" s="80"/>
    </row>
    <row r="101" ht="15.75" customHeight="1">
      <c r="A101" s="79"/>
      <c r="B101" s="79"/>
      <c r="C101" s="79"/>
      <c r="D101" s="79"/>
      <c r="E101" s="79"/>
      <c r="F101" s="79"/>
      <c r="G101" s="80"/>
    </row>
    <row r="102" ht="15.75" customHeight="1">
      <c r="A102" s="79"/>
      <c r="B102" s="79"/>
      <c r="C102" s="79"/>
      <c r="D102" s="79"/>
      <c r="E102" s="79"/>
      <c r="F102" s="79"/>
      <c r="G102" s="80"/>
    </row>
    <row r="103" ht="15.75" customHeight="1">
      <c r="A103" s="79"/>
      <c r="B103" s="79"/>
      <c r="C103" s="79"/>
      <c r="D103" s="79"/>
      <c r="E103" s="79"/>
      <c r="F103" s="79"/>
      <c r="G103" s="80"/>
    </row>
    <row r="104" ht="15.75" customHeight="1">
      <c r="A104" s="79"/>
      <c r="B104" s="79"/>
      <c r="C104" s="79"/>
      <c r="D104" s="79"/>
      <c r="E104" s="79"/>
      <c r="F104" s="79"/>
      <c r="G104" s="80"/>
    </row>
    <row r="105" ht="15.75" customHeight="1">
      <c r="A105" s="79"/>
      <c r="B105" s="79"/>
      <c r="C105" s="79"/>
      <c r="D105" s="79"/>
      <c r="E105" s="79"/>
      <c r="F105" s="79"/>
      <c r="G105" s="80"/>
    </row>
    <row r="106" ht="15.75" customHeight="1">
      <c r="A106" s="79"/>
      <c r="B106" s="79"/>
      <c r="C106" s="79"/>
      <c r="D106" s="79"/>
      <c r="E106" s="79"/>
      <c r="F106" s="79"/>
      <c r="G106" s="80"/>
    </row>
    <row r="107" ht="15.75" customHeight="1">
      <c r="A107" s="79"/>
      <c r="B107" s="79"/>
      <c r="C107" s="79"/>
      <c r="D107" s="79"/>
      <c r="E107" s="79"/>
      <c r="F107" s="79"/>
      <c r="G107" s="80"/>
    </row>
    <row r="108" ht="15.75" customHeight="1">
      <c r="A108" s="79"/>
      <c r="B108" s="79"/>
      <c r="C108" s="79"/>
      <c r="D108" s="79"/>
      <c r="E108" s="79"/>
      <c r="F108" s="79"/>
      <c r="G108" s="80"/>
    </row>
    <row r="109" ht="15.75" customHeight="1">
      <c r="A109" s="79"/>
      <c r="B109" s="79"/>
      <c r="C109" s="79"/>
      <c r="D109" s="79"/>
      <c r="E109" s="79"/>
      <c r="F109" s="79"/>
      <c r="G109" s="80"/>
    </row>
    <row r="110" ht="15.75" customHeight="1">
      <c r="A110" s="79"/>
      <c r="B110" s="79"/>
      <c r="C110" s="79"/>
      <c r="D110" s="79"/>
      <c r="E110" s="79"/>
      <c r="F110" s="79"/>
      <c r="G110" s="80"/>
    </row>
    <row r="111" ht="15.75" customHeight="1">
      <c r="A111" s="79"/>
      <c r="B111" s="79"/>
      <c r="C111" s="79"/>
      <c r="D111" s="79"/>
      <c r="E111" s="79"/>
      <c r="F111" s="79"/>
      <c r="G111" s="80"/>
    </row>
    <row r="112" ht="15.75" customHeight="1">
      <c r="A112" s="79"/>
      <c r="B112" s="79"/>
      <c r="C112" s="79"/>
      <c r="D112" s="79"/>
      <c r="E112" s="79"/>
      <c r="F112" s="79"/>
      <c r="G112" s="80"/>
    </row>
    <row r="113" ht="15.75" customHeight="1">
      <c r="A113" s="79"/>
      <c r="B113" s="79"/>
      <c r="C113" s="79"/>
      <c r="D113" s="79"/>
      <c r="E113" s="79"/>
      <c r="F113" s="79"/>
      <c r="G113" s="80"/>
    </row>
    <row r="114" ht="15.75" customHeight="1">
      <c r="A114" s="79"/>
      <c r="B114" s="79"/>
      <c r="C114" s="79"/>
      <c r="D114" s="79"/>
      <c r="E114" s="79"/>
      <c r="F114" s="79"/>
      <c r="G114" s="80"/>
    </row>
    <row r="115" ht="15.75" customHeight="1"/>
    <row r="116" ht="15.75" customHeight="1">
      <c r="A116" s="25" t="s">
        <v>21</v>
      </c>
      <c r="B116" s="26"/>
      <c r="C116" s="26"/>
      <c r="D116" s="26"/>
      <c r="E116" s="26"/>
      <c r="F116" s="26"/>
      <c r="G116" s="27"/>
    </row>
    <row r="117" ht="15.75" customHeight="1">
      <c r="A117" s="28"/>
      <c r="G117" s="29"/>
    </row>
    <row r="118" ht="15.75" customHeight="1">
      <c r="A118" s="30" t="s">
        <v>22</v>
      </c>
      <c r="B118" s="31"/>
      <c r="C118" s="31"/>
      <c r="E118" s="32" t="s">
        <v>23</v>
      </c>
      <c r="F118" s="31"/>
      <c r="G118" s="33"/>
    </row>
    <row r="119" ht="15.75" customHeight="1">
      <c r="A119" s="85" t="s">
        <v>24</v>
      </c>
      <c r="E119" s="1" t="s">
        <v>25</v>
      </c>
      <c r="G119" s="36"/>
    </row>
    <row r="120" ht="15.75" customHeight="1">
      <c r="A120" s="37" t="s">
        <v>26</v>
      </c>
      <c r="E120" s="38" t="s">
        <v>26</v>
      </c>
      <c r="G120" s="36"/>
    </row>
    <row r="121" ht="15.75" customHeight="1">
      <c r="A121" s="28"/>
      <c r="G121" s="29"/>
    </row>
    <row r="122" ht="15.75" customHeight="1">
      <c r="A122" s="28"/>
      <c r="C122" s="32" t="s">
        <v>55</v>
      </c>
      <c r="D122" s="31"/>
      <c r="E122" s="31"/>
      <c r="G122" s="29"/>
    </row>
    <row r="123" ht="15.75" customHeight="1">
      <c r="A123" s="28"/>
      <c r="C123" s="1" t="s">
        <v>24</v>
      </c>
      <c r="G123" s="29"/>
    </row>
    <row r="124" ht="15.75" customHeight="1">
      <c r="A124" s="39"/>
      <c r="B124" s="40"/>
      <c r="C124" s="41" t="s">
        <v>26</v>
      </c>
      <c r="D124" s="42"/>
      <c r="E124" s="42"/>
      <c r="F124" s="40"/>
      <c r="G124" s="43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7">
    <mergeCell ref="A1:G1"/>
    <mergeCell ref="J1:K1"/>
    <mergeCell ref="A2:G2"/>
    <mergeCell ref="A4:G4"/>
    <mergeCell ref="A6:B6"/>
    <mergeCell ref="C6:G6"/>
    <mergeCell ref="C7:G7"/>
    <mergeCell ref="A7:B7"/>
    <mergeCell ref="A8:B8"/>
    <mergeCell ref="C8:G8"/>
    <mergeCell ref="A10:E10"/>
    <mergeCell ref="A11:E11"/>
    <mergeCell ref="A12:F12"/>
    <mergeCell ref="A14:G14"/>
    <mergeCell ref="A15:G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C22:E22"/>
    <mergeCell ref="A22:B22"/>
    <mergeCell ref="A23:B23"/>
    <mergeCell ref="A24:B24"/>
    <mergeCell ref="A25:B25"/>
    <mergeCell ref="A26:B26"/>
    <mergeCell ref="A27:B27"/>
    <mergeCell ref="A28:B28"/>
    <mergeCell ref="C23:E23"/>
    <mergeCell ref="C24:E24"/>
    <mergeCell ref="C25:E25"/>
    <mergeCell ref="C26:E26"/>
    <mergeCell ref="C27:E27"/>
    <mergeCell ref="C28:E28"/>
    <mergeCell ref="C29:E29"/>
    <mergeCell ref="A37:G37"/>
    <mergeCell ref="C38:E38"/>
    <mergeCell ref="C30:E30"/>
    <mergeCell ref="C31:E31"/>
    <mergeCell ref="C32:E32"/>
    <mergeCell ref="C33:E33"/>
    <mergeCell ref="C34:E34"/>
    <mergeCell ref="C35:E35"/>
    <mergeCell ref="A36:F36"/>
    <mergeCell ref="A29:B29"/>
    <mergeCell ref="A30:B30"/>
    <mergeCell ref="A31:B31"/>
    <mergeCell ref="A32:B32"/>
    <mergeCell ref="A33:B33"/>
    <mergeCell ref="A34:B34"/>
    <mergeCell ref="A35:B35"/>
    <mergeCell ref="A38:B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C45:E45"/>
    <mergeCell ref="A45:B45"/>
    <mergeCell ref="A46:B46"/>
    <mergeCell ref="A47:B47"/>
    <mergeCell ref="A48:B48"/>
    <mergeCell ref="A49:B49"/>
    <mergeCell ref="A50:B50"/>
    <mergeCell ref="A51:B51"/>
    <mergeCell ref="C46:E46"/>
    <mergeCell ref="C47:E47"/>
    <mergeCell ref="C48:E48"/>
    <mergeCell ref="C49:E49"/>
    <mergeCell ref="C50:E50"/>
    <mergeCell ref="C51:E51"/>
    <mergeCell ref="C52:E52"/>
    <mergeCell ref="A60:G60"/>
    <mergeCell ref="C61:E61"/>
    <mergeCell ref="A75:B75"/>
    <mergeCell ref="A76:B76"/>
    <mergeCell ref="A77:B77"/>
    <mergeCell ref="A78:B78"/>
    <mergeCell ref="A79:B79"/>
    <mergeCell ref="A80:B80"/>
    <mergeCell ref="A81:B81"/>
    <mergeCell ref="A89:B89"/>
    <mergeCell ref="A90:B90"/>
    <mergeCell ref="A91:B91"/>
    <mergeCell ref="A118:C118"/>
    <mergeCell ref="A119:C119"/>
    <mergeCell ref="A120:C120"/>
    <mergeCell ref="A82:B82"/>
    <mergeCell ref="A83:B83"/>
    <mergeCell ref="A84:B84"/>
    <mergeCell ref="A85:B85"/>
    <mergeCell ref="A86:B86"/>
    <mergeCell ref="A87:B87"/>
    <mergeCell ref="A88:B88"/>
    <mergeCell ref="C83:E83"/>
    <mergeCell ref="C84:E84"/>
    <mergeCell ref="C85:E85"/>
    <mergeCell ref="C86:E86"/>
    <mergeCell ref="C87:E87"/>
    <mergeCell ref="C88:E88"/>
    <mergeCell ref="C89:E89"/>
    <mergeCell ref="E118:G118"/>
    <mergeCell ref="E119:G119"/>
    <mergeCell ref="E120:G120"/>
    <mergeCell ref="C122:E122"/>
    <mergeCell ref="C123:E123"/>
    <mergeCell ref="C124:E124"/>
    <mergeCell ref="C90:E90"/>
    <mergeCell ref="C91:E91"/>
    <mergeCell ref="A92:F92"/>
    <mergeCell ref="A94:E94"/>
    <mergeCell ref="A95:E95"/>
    <mergeCell ref="A96:E96"/>
    <mergeCell ref="A97:F97"/>
    <mergeCell ref="C53:E53"/>
    <mergeCell ref="C54:E54"/>
    <mergeCell ref="C55:E55"/>
    <mergeCell ref="C56:E56"/>
    <mergeCell ref="C57:E57"/>
    <mergeCell ref="C58:E58"/>
    <mergeCell ref="A59:F59"/>
    <mergeCell ref="A52:B52"/>
    <mergeCell ref="A53:B53"/>
    <mergeCell ref="A54:B54"/>
    <mergeCell ref="A55:B55"/>
    <mergeCell ref="A56:B56"/>
    <mergeCell ref="A57:B57"/>
    <mergeCell ref="A58:B58"/>
    <mergeCell ref="A61:B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C68:E68"/>
    <mergeCell ref="A68:B68"/>
    <mergeCell ref="A69:B69"/>
    <mergeCell ref="A70:B70"/>
    <mergeCell ref="A71:B71"/>
    <mergeCell ref="A72:B72"/>
    <mergeCell ref="A73:B73"/>
    <mergeCell ref="A74:B74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</mergeCells>
  <dataValidations>
    <dataValidation type="list" allowBlank="1" showErrorMessage="1" sqref="F17:F35 F39:F58 F62:F91">
      <formula1>$J$3:$J$12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9.33"/>
    <col customWidth="1" min="4" max="4" width="10.89"/>
    <col customWidth="1" min="5" max="5" width="7.78"/>
    <col customWidth="1" min="6" max="6" width="8.89"/>
    <col customWidth="1" min="7" max="7" width="13.67"/>
    <col customWidth="1" min="8" max="8" width="12.78"/>
    <col customWidth="1" hidden="1" min="9" max="11" width="10.78"/>
    <col customWidth="1" hidden="1" min="12" max="12" width="10.89"/>
    <col customWidth="1" min="13" max="26" width="10.89"/>
  </cols>
  <sheetData>
    <row r="1">
      <c r="A1" s="1" t="s">
        <v>28</v>
      </c>
      <c r="I1" s="44" t="s">
        <v>29</v>
      </c>
      <c r="J1" s="44" t="s">
        <v>30</v>
      </c>
      <c r="K1" s="45"/>
    </row>
    <row r="2">
      <c r="A2" s="1" t="s">
        <v>1</v>
      </c>
      <c r="I2" s="46">
        <v>1.0</v>
      </c>
      <c r="J2" s="46">
        <v>30.0</v>
      </c>
    </row>
    <row r="3">
      <c r="I3" s="47">
        <v>1.07</v>
      </c>
      <c r="J3" s="47">
        <v>29.0</v>
      </c>
      <c r="K3" s="44" t="s">
        <v>31</v>
      </c>
    </row>
    <row r="4">
      <c r="A4" s="1" t="s">
        <v>56</v>
      </c>
      <c r="I4" s="47">
        <v>1.14</v>
      </c>
      <c r="J4" s="47">
        <v>28.0</v>
      </c>
      <c r="K4" s="44" t="s">
        <v>33</v>
      </c>
    </row>
    <row r="5">
      <c r="I5" s="47">
        <v>1.21</v>
      </c>
      <c r="J5" s="47">
        <v>27.0</v>
      </c>
      <c r="K5" s="44" t="s">
        <v>34</v>
      </c>
    </row>
    <row r="6">
      <c r="A6" s="48" t="s">
        <v>3</v>
      </c>
      <c r="B6" s="5"/>
      <c r="C6" s="3"/>
      <c r="D6" s="49" t="str">
        <f>SUMMARY!C6</f>
        <v/>
      </c>
      <c r="E6" s="5"/>
      <c r="F6" s="5"/>
      <c r="G6" s="5"/>
      <c r="H6" s="6"/>
      <c r="I6" s="47">
        <v>1.28</v>
      </c>
      <c r="J6" s="47">
        <v>26.0</v>
      </c>
      <c r="K6" s="44" t="s">
        <v>35</v>
      </c>
    </row>
    <row r="7">
      <c r="A7" s="19" t="s">
        <v>4</v>
      </c>
      <c r="B7" s="10"/>
      <c r="C7" s="8"/>
      <c r="D7" s="50" t="str">
        <f>SUMMARY!C7</f>
        <v/>
      </c>
      <c r="E7" s="10"/>
      <c r="F7" s="10"/>
      <c r="G7" s="10"/>
      <c r="H7" s="11"/>
      <c r="I7" s="47">
        <v>1.35</v>
      </c>
      <c r="J7" s="47">
        <v>25.0</v>
      </c>
      <c r="K7" s="51" t="s">
        <v>36</v>
      </c>
      <c r="L7" s="51"/>
    </row>
    <row r="8">
      <c r="A8" s="52" t="s">
        <v>5</v>
      </c>
      <c r="B8" s="15"/>
      <c r="C8" s="13"/>
      <c r="D8" s="53" t="str">
        <f>SUMMARY!C8</f>
        <v/>
      </c>
      <c r="E8" s="15"/>
      <c r="F8" s="15"/>
      <c r="G8" s="15"/>
      <c r="H8" s="16"/>
      <c r="I8" s="47">
        <v>1.41</v>
      </c>
      <c r="J8" s="47">
        <v>24.0</v>
      </c>
      <c r="K8" s="44" t="s">
        <v>37</v>
      </c>
    </row>
    <row r="9">
      <c r="I9" s="47">
        <v>1.48</v>
      </c>
      <c r="J9" s="47">
        <v>23.0</v>
      </c>
      <c r="K9" s="44" t="s">
        <v>38</v>
      </c>
    </row>
    <row r="10">
      <c r="A10" s="86" t="s">
        <v>14</v>
      </c>
      <c r="B10" s="10"/>
      <c r="C10" s="10"/>
      <c r="D10" s="10"/>
      <c r="E10" s="10"/>
      <c r="F10" s="8"/>
      <c r="G10" s="87"/>
      <c r="H10" s="87"/>
      <c r="I10" s="64">
        <v>1.55</v>
      </c>
      <c r="J10" s="47">
        <v>22.0</v>
      </c>
      <c r="K10" s="44" t="s">
        <v>40</v>
      </c>
    </row>
    <row r="11">
      <c r="A11" s="88" t="s">
        <v>57</v>
      </c>
      <c r="B11" s="10"/>
      <c r="C11" s="10"/>
      <c r="D11" s="10"/>
      <c r="E11" s="10"/>
      <c r="F11" s="10"/>
      <c r="G11" s="10"/>
      <c r="H11" s="8"/>
      <c r="I11" s="64"/>
      <c r="J11" s="47"/>
    </row>
    <row r="12">
      <c r="A12" s="88" t="s">
        <v>58</v>
      </c>
      <c r="B12" s="10"/>
      <c r="C12" s="10"/>
      <c r="D12" s="10"/>
      <c r="E12" s="10"/>
      <c r="F12" s="10"/>
      <c r="G12" s="10"/>
      <c r="H12" s="8"/>
      <c r="I12" s="64"/>
      <c r="J12" s="47"/>
    </row>
    <row r="13">
      <c r="A13" s="89" t="s">
        <v>59</v>
      </c>
      <c r="B13" s="89" t="s">
        <v>60</v>
      </c>
      <c r="C13" s="90" t="s">
        <v>61</v>
      </c>
      <c r="D13" s="10"/>
      <c r="E13" s="8"/>
      <c r="F13" s="91" t="s">
        <v>62</v>
      </c>
      <c r="G13" s="8"/>
      <c r="H13" s="92" t="s">
        <v>48</v>
      </c>
      <c r="I13" s="64"/>
      <c r="J13" s="47"/>
    </row>
    <row r="14">
      <c r="A14" s="93"/>
      <c r="B14" s="93"/>
      <c r="C14" s="91"/>
      <c r="D14" s="10"/>
      <c r="E14" s="8"/>
      <c r="F14" s="91"/>
      <c r="G14" s="8"/>
      <c r="H14" s="92">
        <f t="shared" ref="H14:H43" si="1">MIN(K14* 0.6, 3)</f>
        <v>0</v>
      </c>
      <c r="I14" s="64"/>
      <c r="J14" s="47"/>
      <c r="K14" s="94">
        <f t="shared" ref="K14:K43" si="2">B14-A14</f>
        <v>0</v>
      </c>
    </row>
    <row r="15">
      <c r="A15" s="93"/>
      <c r="B15" s="93"/>
      <c r="C15" s="91"/>
      <c r="D15" s="10"/>
      <c r="E15" s="8"/>
      <c r="F15" s="91"/>
      <c r="G15" s="8"/>
      <c r="H15" s="92">
        <f t="shared" si="1"/>
        <v>0</v>
      </c>
      <c r="I15" s="64"/>
      <c r="J15" s="47"/>
      <c r="K15" s="94">
        <f t="shared" si="2"/>
        <v>0</v>
      </c>
    </row>
    <row r="16">
      <c r="A16" s="93"/>
      <c r="B16" s="93"/>
      <c r="C16" s="91"/>
      <c r="D16" s="10"/>
      <c r="E16" s="8"/>
      <c r="F16" s="91"/>
      <c r="G16" s="8"/>
      <c r="H16" s="92">
        <f t="shared" si="1"/>
        <v>0</v>
      </c>
      <c r="I16" s="64"/>
      <c r="J16" s="47"/>
      <c r="K16" s="94">
        <f t="shared" si="2"/>
        <v>0</v>
      </c>
    </row>
    <row r="17">
      <c r="A17" s="93"/>
      <c r="B17" s="93"/>
      <c r="C17" s="91"/>
      <c r="D17" s="10"/>
      <c r="E17" s="8"/>
      <c r="F17" s="91"/>
      <c r="G17" s="8"/>
      <c r="H17" s="92">
        <f t="shared" si="1"/>
        <v>0</v>
      </c>
      <c r="I17" s="64"/>
      <c r="J17" s="47"/>
      <c r="K17" s="94">
        <f t="shared" si="2"/>
        <v>0</v>
      </c>
    </row>
    <row r="18">
      <c r="A18" s="93"/>
      <c r="B18" s="93"/>
      <c r="C18" s="91"/>
      <c r="D18" s="10"/>
      <c r="E18" s="8"/>
      <c r="F18" s="91"/>
      <c r="G18" s="8"/>
      <c r="H18" s="92">
        <f t="shared" si="1"/>
        <v>0</v>
      </c>
      <c r="I18" s="64"/>
      <c r="J18" s="47"/>
      <c r="K18" s="94">
        <f t="shared" si="2"/>
        <v>0</v>
      </c>
    </row>
    <row r="19">
      <c r="A19" s="93"/>
      <c r="B19" s="93"/>
      <c r="C19" s="91"/>
      <c r="D19" s="10"/>
      <c r="E19" s="8"/>
      <c r="F19" s="91"/>
      <c r="G19" s="8"/>
      <c r="H19" s="92">
        <f t="shared" si="1"/>
        <v>0</v>
      </c>
      <c r="I19" s="64"/>
      <c r="J19" s="47"/>
      <c r="K19" s="94">
        <f t="shared" si="2"/>
        <v>0</v>
      </c>
    </row>
    <row r="20">
      <c r="A20" s="93"/>
      <c r="B20" s="93"/>
      <c r="C20" s="91"/>
      <c r="D20" s="10"/>
      <c r="E20" s="8"/>
      <c r="F20" s="91"/>
      <c r="G20" s="8"/>
      <c r="H20" s="92">
        <f t="shared" si="1"/>
        <v>0</v>
      </c>
      <c r="I20" s="64"/>
      <c r="J20" s="47"/>
      <c r="K20" s="94">
        <f t="shared" si="2"/>
        <v>0</v>
      </c>
    </row>
    <row r="21" ht="15.75" customHeight="1">
      <c r="A21" s="93"/>
      <c r="B21" s="93"/>
      <c r="C21" s="91"/>
      <c r="D21" s="10"/>
      <c r="E21" s="8"/>
      <c r="F21" s="91"/>
      <c r="G21" s="8"/>
      <c r="H21" s="92">
        <f t="shared" si="1"/>
        <v>0</v>
      </c>
      <c r="I21" s="64"/>
      <c r="J21" s="47"/>
      <c r="K21" s="94">
        <f t="shared" si="2"/>
        <v>0</v>
      </c>
    </row>
    <row r="22" ht="15.75" customHeight="1">
      <c r="A22" s="93"/>
      <c r="B22" s="93"/>
      <c r="C22" s="91"/>
      <c r="D22" s="10"/>
      <c r="E22" s="8"/>
      <c r="F22" s="91"/>
      <c r="G22" s="8"/>
      <c r="H22" s="92">
        <f t="shared" si="1"/>
        <v>0</v>
      </c>
      <c r="I22" s="64"/>
      <c r="J22" s="47"/>
      <c r="K22" s="94">
        <f t="shared" si="2"/>
        <v>0</v>
      </c>
    </row>
    <row r="23" ht="15.75" customHeight="1">
      <c r="A23" s="93"/>
      <c r="B23" s="93"/>
      <c r="C23" s="91"/>
      <c r="D23" s="10"/>
      <c r="E23" s="8"/>
      <c r="F23" s="91"/>
      <c r="G23" s="8"/>
      <c r="H23" s="92">
        <f t="shared" si="1"/>
        <v>0</v>
      </c>
      <c r="I23" s="64"/>
      <c r="J23" s="47"/>
      <c r="K23" s="94">
        <f t="shared" si="2"/>
        <v>0</v>
      </c>
    </row>
    <row r="24" ht="15.75" customHeight="1">
      <c r="A24" s="93"/>
      <c r="B24" s="93"/>
      <c r="C24" s="91"/>
      <c r="D24" s="10"/>
      <c r="E24" s="8"/>
      <c r="F24" s="91"/>
      <c r="G24" s="8"/>
      <c r="H24" s="92">
        <f t="shared" si="1"/>
        <v>0</v>
      </c>
      <c r="I24" s="64"/>
      <c r="J24" s="47"/>
      <c r="K24" s="94">
        <f t="shared" si="2"/>
        <v>0</v>
      </c>
    </row>
    <row r="25" ht="15.75" customHeight="1">
      <c r="A25" s="93"/>
      <c r="B25" s="93"/>
      <c r="C25" s="91"/>
      <c r="D25" s="10"/>
      <c r="E25" s="8"/>
      <c r="F25" s="91"/>
      <c r="G25" s="8"/>
      <c r="H25" s="92">
        <f t="shared" si="1"/>
        <v>0</v>
      </c>
      <c r="I25" s="64"/>
      <c r="J25" s="47"/>
      <c r="K25" s="94">
        <f t="shared" si="2"/>
        <v>0</v>
      </c>
    </row>
    <row r="26" ht="15.75" customHeight="1">
      <c r="A26" s="93"/>
      <c r="B26" s="93"/>
      <c r="C26" s="91"/>
      <c r="D26" s="10"/>
      <c r="E26" s="8"/>
      <c r="F26" s="91"/>
      <c r="G26" s="8"/>
      <c r="H26" s="92">
        <f t="shared" si="1"/>
        <v>0</v>
      </c>
      <c r="I26" s="64"/>
      <c r="J26" s="47"/>
      <c r="K26" s="94">
        <f t="shared" si="2"/>
        <v>0</v>
      </c>
    </row>
    <row r="27" ht="15.75" customHeight="1">
      <c r="A27" s="93"/>
      <c r="B27" s="93"/>
      <c r="C27" s="91"/>
      <c r="D27" s="10"/>
      <c r="E27" s="8"/>
      <c r="F27" s="91"/>
      <c r="G27" s="8"/>
      <c r="H27" s="92">
        <f t="shared" si="1"/>
        <v>0</v>
      </c>
      <c r="I27" s="64"/>
      <c r="J27" s="47"/>
      <c r="K27" s="94">
        <f t="shared" si="2"/>
        <v>0</v>
      </c>
    </row>
    <row r="28" ht="15.75" customHeight="1">
      <c r="A28" s="93"/>
      <c r="B28" s="93"/>
      <c r="C28" s="91"/>
      <c r="D28" s="10"/>
      <c r="E28" s="8"/>
      <c r="F28" s="91"/>
      <c r="G28" s="8"/>
      <c r="H28" s="92">
        <f t="shared" si="1"/>
        <v>0</v>
      </c>
      <c r="I28" s="64"/>
      <c r="J28" s="47"/>
      <c r="K28" s="94">
        <f t="shared" si="2"/>
        <v>0</v>
      </c>
    </row>
    <row r="29" ht="15.75" customHeight="1">
      <c r="A29" s="93"/>
      <c r="B29" s="93"/>
      <c r="C29" s="91"/>
      <c r="D29" s="10"/>
      <c r="E29" s="8"/>
      <c r="F29" s="91"/>
      <c r="G29" s="8"/>
      <c r="H29" s="92">
        <f t="shared" si="1"/>
        <v>0</v>
      </c>
      <c r="I29" s="64"/>
      <c r="J29" s="47"/>
      <c r="K29" s="94">
        <f t="shared" si="2"/>
        <v>0</v>
      </c>
    </row>
    <row r="30" ht="15.75" customHeight="1">
      <c r="A30" s="93"/>
      <c r="B30" s="93"/>
      <c r="C30" s="91"/>
      <c r="D30" s="10"/>
      <c r="E30" s="8"/>
      <c r="F30" s="91"/>
      <c r="G30" s="8"/>
      <c r="H30" s="92">
        <f t="shared" si="1"/>
        <v>0</v>
      </c>
      <c r="I30" s="64"/>
      <c r="J30" s="47"/>
      <c r="K30" s="94">
        <f t="shared" si="2"/>
        <v>0</v>
      </c>
    </row>
    <row r="31" ht="15.75" customHeight="1">
      <c r="A31" s="93"/>
      <c r="B31" s="93"/>
      <c r="C31" s="91"/>
      <c r="D31" s="10"/>
      <c r="E31" s="8"/>
      <c r="F31" s="91"/>
      <c r="G31" s="8"/>
      <c r="H31" s="92">
        <f t="shared" si="1"/>
        <v>0</v>
      </c>
      <c r="I31" s="64"/>
      <c r="J31" s="47"/>
      <c r="K31" s="94">
        <f t="shared" si="2"/>
        <v>0</v>
      </c>
    </row>
    <row r="32" ht="15.75" customHeight="1">
      <c r="A32" s="93"/>
      <c r="B32" s="93"/>
      <c r="C32" s="91"/>
      <c r="D32" s="10"/>
      <c r="E32" s="8"/>
      <c r="F32" s="91"/>
      <c r="G32" s="8"/>
      <c r="H32" s="92">
        <f t="shared" si="1"/>
        <v>0</v>
      </c>
      <c r="I32" s="64"/>
      <c r="J32" s="47"/>
      <c r="K32" s="94">
        <f t="shared" si="2"/>
        <v>0</v>
      </c>
    </row>
    <row r="33" ht="15.75" customHeight="1">
      <c r="A33" s="93"/>
      <c r="B33" s="93"/>
      <c r="C33" s="91"/>
      <c r="D33" s="10"/>
      <c r="E33" s="8"/>
      <c r="F33" s="91"/>
      <c r="G33" s="8"/>
      <c r="H33" s="92">
        <f t="shared" si="1"/>
        <v>0</v>
      </c>
      <c r="I33" s="64"/>
      <c r="J33" s="47"/>
      <c r="K33" s="94">
        <f t="shared" si="2"/>
        <v>0</v>
      </c>
    </row>
    <row r="34" ht="15.75" customHeight="1">
      <c r="A34" s="93"/>
      <c r="B34" s="93"/>
      <c r="C34" s="91"/>
      <c r="D34" s="10"/>
      <c r="E34" s="8"/>
      <c r="F34" s="91"/>
      <c r="G34" s="8"/>
      <c r="H34" s="92">
        <f t="shared" si="1"/>
        <v>0</v>
      </c>
      <c r="I34" s="64"/>
      <c r="J34" s="47"/>
      <c r="K34" s="94">
        <f t="shared" si="2"/>
        <v>0</v>
      </c>
    </row>
    <row r="35" ht="15.75" customHeight="1">
      <c r="A35" s="93"/>
      <c r="B35" s="93"/>
      <c r="C35" s="91"/>
      <c r="D35" s="10"/>
      <c r="E35" s="8"/>
      <c r="F35" s="91"/>
      <c r="G35" s="8"/>
      <c r="H35" s="92">
        <f t="shared" si="1"/>
        <v>0</v>
      </c>
      <c r="I35" s="64"/>
      <c r="J35" s="47"/>
      <c r="K35" s="94">
        <f t="shared" si="2"/>
        <v>0</v>
      </c>
    </row>
    <row r="36" ht="15.75" customHeight="1">
      <c r="A36" s="93"/>
      <c r="B36" s="93"/>
      <c r="C36" s="91"/>
      <c r="D36" s="10"/>
      <c r="E36" s="8"/>
      <c r="F36" s="91"/>
      <c r="G36" s="8"/>
      <c r="H36" s="92">
        <f t="shared" si="1"/>
        <v>0</v>
      </c>
      <c r="I36" s="64"/>
      <c r="J36" s="47"/>
      <c r="K36" s="94">
        <f t="shared" si="2"/>
        <v>0</v>
      </c>
    </row>
    <row r="37" ht="15.75" customHeight="1">
      <c r="A37" s="93"/>
      <c r="B37" s="93"/>
      <c r="C37" s="91"/>
      <c r="D37" s="10"/>
      <c r="E37" s="8"/>
      <c r="F37" s="91"/>
      <c r="G37" s="8"/>
      <c r="H37" s="92">
        <f t="shared" si="1"/>
        <v>0</v>
      </c>
      <c r="I37" s="64"/>
      <c r="J37" s="47"/>
      <c r="K37" s="94">
        <f t="shared" si="2"/>
        <v>0</v>
      </c>
    </row>
    <row r="38" ht="15.75" customHeight="1">
      <c r="A38" s="93"/>
      <c r="B38" s="93"/>
      <c r="C38" s="91"/>
      <c r="D38" s="10"/>
      <c r="E38" s="8"/>
      <c r="F38" s="91"/>
      <c r="G38" s="8"/>
      <c r="H38" s="92">
        <f t="shared" si="1"/>
        <v>0</v>
      </c>
      <c r="I38" s="64"/>
      <c r="J38" s="47"/>
      <c r="K38" s="94">
        <f t="shared" si="2"/>
        <v>0</v>
      </c>
    </row>
    <row r="39" ht="15.75" customHeight="1">
      <c r="A39" s="93"/>
      <c r="B39" s="93"/>
      <c r="C39" s="91"/>
      <c r="D39" s="10"/>
      <c r="E39" s="8"/>
      <c r="F39" s="91"/>
      <c r="G39" s="8"/>
      <c r="H39" s="92">
        <f t="shared" si="1"/>
        <v>0</v>
      </c>
      <c r="I39" s="64"/>
      <c r="J39" s="47"/>
      <c r="K39" s="94">
        <f t="shared" si="2"/>
        <v>0</v>
      </c>
    </row>
    <row r="40" ht="15.75" customHeight="1">
      <c r="A40" s="93"/>
      <c r="B40" s="93"/>
      <c r="C40" s="91"/>
      <c r="D40" s="10"/>
      <c r="E40" s="8"/>
      <c r="F40" s="91"/>
      <c r="G40" s="8"/>
      <c r="H40" s="92">
        <f t="shared" si="1"/>
        <v>0</v>
      </c>
      <c r="I40" s="64"/>
      <c r="J40" s="47"/>
      <c r="K40" s="94">
        <f t="shared" si="2"/>
        <v>0</v>
      </c>
    </row>
    <row r="41" ht="15.75" customHeight="1">
      <c r="A41" s="93"/>
      <c r="B41" s="93"/>
      <c r="C41" s="91"/>
      <c r="D41" s="10"/>
      <c r="E41" s="8"/>
      <c r="F41" s="91"/>
      <c r="G41" s="8"/>
      <c r="H41" s="92">
        <f t="shared" si="1"/>
        <v>0</v>
      </c>
      <c r="I41" s="64"/>
      <c r="J41" s="47"/>
      <c r="K41" s="94">
        <f t="shared" si="2"/>
        <v>0</v>
      </c>
    </row>
    <row r="42" ht="15.75" customHeight="1">
      <c r="A42" s="93"/>
      <c r="B42" s="93"/>
      <c r="C42" s="91"/>
      <c r="D42" s="10"/>
      <c r="E42" s="8"/>
      <c r="F42" s="91"/>
      <c r="G42" s="8"/>
      <c r="H42" s="92">
        <f t="shared" si="1"/>
        <v>0</v>
      </c>
      <c r="I42" s="64"/>
      <c r="J42" s="47"/>
      <c r="K42" s="94">
        <f t="shared" si="2"/>
        <v>0</v>
      </c>
    </row>
    <row r="43" ht="15.75" customHeight="1">
      <c r="A43" s="93"/>
      <c r="B43" s="93"/>
      <c r="C43" s="91"/>
      <c r="D43" s="10"/>
      <c r="E43" s="8"/>
      <c r="F43" s="91"/>
      <c r="G43" s="8"/>
      <c r="H43" s="92">
        <f t="shared" si="1"/>
        <v>0</v>
      </c>
      <c r="I43" s="64"/>
      <c r="J43" s="47"/>
      <c r="K43" s="94">
        <f t="shared" si="2"/>
        <v>0</v>
      </c>
    </row>
    <row r="44" ht="15.0" customHeight="1">
      <c r="A44" s="95" t="s">
        <v>49</v>
      </c>
      <c r="B44" s="10"/>
      <c r="C44" s="10"/>
      <c r="D44" s="10"/>
      <c r="E44" s="10"/>
      <c r="F44" s="10"/>
      <c r="G44" s="8"/>
      <c r="H44" s="89">
        <f>SUM(H13:H43)</f>
        <v>0</v>
      </c>
      <c r="I44" s="96"/>
      <c r="J44" s="96"/>
      <c r="K44" s="96"/>
      <c r="L44" s="96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5.0" customHeight="1">
      <c r="A45" s="88" t="s">
        <v>63</v>
      </c>
      <c r="B45" s="10"/>
      <c r="C45" s="10"/>
      <c r="D45" s="10"/>
      <c r="E45" s="10"/>
      <c r="F45" s="10"/>
      <c r="G45" s="10"/>
      <c r="H45" s="8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ht="15.0" customHeight="1">
      <c r="A46" s="98" t="s">
        <v>64</v>
      </c>
      <c r="B46" s="8"/>
      <c r="C46" s="98" t="s">
        <v>65</v>
      </c>
      <c r="D46" s="10"/>
      <c r="E46" s="10"/>
      <c r="F46" s="10"/>
      <c r="G46" s="8"/>
      <c r="H46" s="99" t="s">
        <v>48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ht="15.0" customHeight="1">
      <c r="A47" s="100"/>
      <c r="B47" s="8"/>
      <c r="C47" s="100"/>
      <c r="D47" s="10"/>
      <c r="E47" s="10"/>
      <c r="F47" s="10"/>
      <c r="G47" s="8"/>
      <c r="H47" s="101" t="str">
        <f t="shared" ref="H47:H58" si="3">IF(A47="", "", IF(A47="President",1,IF(A47="Vice President",0.75,0.5)))</f>
        <v/>
      </c>
      <c r="I47" s="74" t="s">
        <v>66</v>
      </c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5.0" customHeight="1">
      <c r="A48" s="100"/>
      <c r="B48" s="8"/>
      <c r="C48" s="100"/>
      <c r="D48" s="10"/>
      <c r="E48" s="10"/>
      <c r="F48" s="10"/>
      <c r="G48" s="8"/>
      <c r="H48" s="101" t="str">
        <f t="shared" si="3"/>
        <v/>
      </c>
      <c r="I48" s="64" t="s">
        <v>67</v>
      </c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ht="15.0" customHeight="1">
      <c r="A49" s="100"/>
      <c r="B49" s="8"/>
      <c r="C49" s="100"/>
      <c r="D49" s="10"/>
      <c r="E49" s="10"/>
      <c r="F49" s="10"/>
      <c r="G49" s="8"/>
      <c r="H49" s="101" t="str">
        <f t="shared" si="3"/>
        <v/>
      </c>
      <c r="I49" s="64" t="s">
        <v>68</v>
      </c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ht="15.0" customHeight="1">
      <c r="A50" s="100"/>
      <c r="B50" s="8"/>
      <c r="C50" s="100"/>
      <c r="D50" s="10"/>
      <c r="E50" s="10"/>
      <c r="F50" s="10"/>
      <c r="G50" s="8"/>
      <c r="H50" s="101" t="str">
        <f t="shared" si="3"/>
        <v/>
      </c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ht="15.0" customHeight="1">
      <c r="A51" s="100"/>
      <c r="B51" s="8"/>
      <c r="C51" s="100"/>
      <c r="D51" s="10"/>
      <c r="E51" s="10"/>
      <c r="F51" s="10"/>
      <c r="G51" s="8"/>
      <c r="H51" s="101" t="str">
        <f t="shared" si="3"/>
        <v/>
      </c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5.0" customHeight="1">
      <c r="A52" s="100"/>
      <c r="B52" s="8"/>
      <c r="C52" s="100"/>
      <c r="D52" s="10"/>
      <c r="E52" s="10"/>
      <c r="F52" s="10"/>
      <c r="G52" s="8"/>
      <c r="H52" s="101" t="str">
        <f t="shared" si="3"/>
        <v/>
      </c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15.0" customHeight="1">
      <c r="A53" s="100"/>
      <c r="B53" s="8"/>
      <c r="C53" s="100"/>
      <c r="D53" s="10"/>
      <c r="E53" s="10"/>
      <c r="F53" s="10"/>
      <c r="G53" s="8"/>
      <c r="H53" s="101" t="str">
        <f t="shared" si="3"/>
        <v/>
      </c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5.0" customHeight="1">
      <c r="A54" s="100"/>
      <c r="B54" s="8"/>
      <c r="C54" s="100"/>
      <c r="D54" s="10"/>
      <c r="E54" s="10"/>
      <c r="F54" s="10"/>
      <c r="G54" s="8"/>
      <c r="H54" s="101" t="str">
        <f t="shared" si="3"/>
        <v/>
      </c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0" customHeight="1">
      <c r="A55" s="100"/>
      <c r="B55" s="8"/>
      <c r="C55" s="100"/>
      <c r="D55" s="10"/>
      <c r="E55" s="10"/>
      <c r="F55" s="10"/>
      <c r="G55" s="8"/>
      <c r="H55" s="101" t="str">
        <f t="shared" si="3"/>
        <v/>
      </c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0" customHeight="1">
      <c r="A56" s="100"/>
      <c r="B56" s="8"/>
      <c r="C56" s="100"/>
      <c r="D56" s="10"/>
      <c r="E56" s="10"/>
      <c r="F56" s="10"/>
      <c r="G56" s="8"/>
      <c r="H56" s="101" t="str">
        <f t="shared" si="3"/>
        <v/>
      </c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0" customHeight="1">
      <c r="A57" s="100"/>
      <c r="B57" s="8"/>
      <c r="C57" s="100"/>
      <c r="D57" s="10"/>
      <c r="E57" s="10"/>
      <c r="F57" s="10"/>
      <c r="G57" s="8"/>
      <c r="H57" s="101" t="str">
        <f t="shared" si="3"/>
        <v/>
      </c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0" customHeight="1">
      <c r="A58" s="100"/>
      <c r="B58" s="8"/>
      <c r="C58" s="100"/>
      <c r="D58" s="10"/>
      <c r="E58" s="10"/>
      <c r="F58" s="10"/>
      <c r="G58" s="8"/>
      <c r="H58" s="101" t="str">
        <f t="shared" si="3"/>
        <v/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0" customHeight="1">
      <c r="A59" s="102" t="s">
        <v>49</v>
      </c>
      <c r="B59" s="10"/>
      <c r="C59" s="10"/>
      <c r="D59" s="10"/>
      <c r="E59" s="10"/>
      <c r="F59" s="10"/>
      <c r="G59" s="8"/>
      <c r="H59" s="101">
        <f>SUM(H47:H58)</f>
        <v>0</v>
      </c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4.25" customHeight="1">
      <c r="A60" s="88" t="s">
        <v>69</v>
      </c>
      <c r="B60" s="10"/>
      <c r="C60" s="10"/>
      <c r="D60" s="10"/>
      <c r="E60" s="10"/>
      <c r="F60" s="10"/>
      <c r="G60" s="10"/>
      <c r="H60" s="8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4.25" customHeight="1">
      <c r="A61" s="101" t="s">
        <v>70</v>
      </c>
      <c r="B61" s="100" t="s">
        <v>71</v>
      </c>
      <c r="C61" s="10"/>
      <c r="D61" s="8"/>
      <c r="E61" s="100" t="s">
        <v>72</v>
      </c>
      <c r="F61" s="10"/>
      <c r="G61" s="8"/>
      <c r="H61" s="101" t="s">
        <v>48</v>
      </c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4.25" customHeight="1">
      <c r="A62" s="103"/>
      <c r="B62" s="100" t="s">
        <v>73</v>
      </c>
      <c r="C62" s="10"/>
      <c r="D62" s="8"/>
      <c r="E62" s="100"/>
      <c r="F62" s="10"/>
      <c r="G62" s="8"/>
      <c r="H62" s="101">
        <f t="shared" ref="H62:H64" si="4">IF(ISBLANK(B62), 0, 3)</f>
        <v>3</v>
      </c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4.25" customHeight="1">
      <c r="A63" s="103"/>
      <c r="B63" s="100" t="s">
        <v>74</v>
      </c>
      <c r="C63" s="10"/>
      <c r="D63" s="8"/>
      <c r="E63" s="100"/>
      <c r="F63" s="10"/>
      <c r="G63" s="8"/>
      <c r="H63" s="101">
        <f t="shared" si="4"/>
        <v>3</v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5.0" customHeight="1">
      <c r="A64" s="101"/>
      <c r="B64" s="100" t="s">
        <v>74</v>
      </c>
      <c r="C64" s="10"/>
      <c r="D64" s="8"/>
      <c r="E64" s="100"/>
      <c r="F64" s="10"/>
      <c r="G64" s="8"/>
      <c r="H64" s="101">
        <f t="shared" si="4"/>
        <v>3</v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5.0" customHeight="1">
      <c r="A65" s="102" t="s">
        <v>49</v>
      </c>
      <c r="B65" s="10"/>
      <c r="C65" s="10"/>
      <c r="D65" s="10"/>
      <c r="E65" s="10"/>
      <c r="F65" s="10"/>
      <c r="G65" s="8"/>
      <c r="H65" s="101">
        <f>SUM(H62:H64)</f>
        <v>9</v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5.75" customHeight="1">
      <c r="A66" s="79"/>
      <c r="B66" s="79"/>
      <c r="C66" s="79"/>
      <c r="D66" s="79"/>
      <c r="E66" s="79"/>
      <c r="F66" s="79"/>
      <c r="G66" s="79"/>
      <c r="H66" s="80"/>
    </row>
    <row r="67" ht="15.75" customHeight="1">
      <c r="A67" s="76" t="s">
        <v>75</v>
      </c>
      <c r="B67" s="5"/>
      <c r="C67" s="5"/>
      <c r="D67" s="5"/>
      <c r="E67" s="5"/>
      <c r="F67" s="5"/>
      <c r="G67" s="5"/>
      <c r="H67" s="6"/>
    </row>
    <row r="68" ht="15.0" customHeight="1">
      <c r="A68" s="19" t="s">
        <v>76</v>
      </c>
      <c r="B68" s="10"/>
      <c r="C68" s="10"/>
      <c r="D68" s="10"/>
      <c r="E68" s="10"/>
      <c r="F68" s="8"/>
      <c r="G68" s="83" t="s">
        <v>49</v>
      </c>
      <c r="H68" s="104">
        <f>H44</f>
        <v>0</v>
      </c>
    </row>
    <row r="69" ht="15.75" customHeight="1">
      <c r="A69" s="19" t="s">
        <v>77</v>
      </c>
      <c r="B69" s="10"/>
      <c r="C69" s="10"/>
      <c r="D69" s="10"/>
      <c r="E69" s="10"/>
      <c r="F69" s="8"/>
      <c r="G69" s="83" t="s">
        <v>49</v>
      </c>
      <c r="H69" s="104">
        <f>H59</f>
        <v>0</v>
      </c>
    </row>
    <row r="70" ht="15.75" customHeight="1">
      <c r="A70" s="19" t="s">
        <v>78</v>
      </c>
      <c r="B70" s="10"/>
      <c r="C70" s="10"/>
      <c r="D70" s="10"/>
      <c r="E70" s="10"/>
      <c r="F70" s="8"/>
      <c r="G70" s="83" t="s">
        <v>49</v>
      </c>
      <c r="H70" s="104">
        <f>H65</f>
        <v>9</v>
      </c>
    </row>
    <row r="71" ht="15.75" customHeight="1">
      <c r="A71" s="61" t="s">
        <v>13</v>
      </c>
      <c r="B71" s="15"/>
      <c r="C71" s="15"/>
      <c r="D71" s="15"/>
      <c r="E71" s="15"/>
      <c r="F71" s="15"/>
      <c r="G71" s="13"/>
      <c r="H71" s="105">
        <f>MIN(SUM(H68:H70),6)</f>
        <v>6</v>
      </c>
    </row>
    <row r="72" ht="15.75" customHeight="1">
      <c r="A72" s="79"/>
      <c r="B72" s="79"/>
      <c r="C72" s="79"/>
      <c r="D72" s="79"/>
      <c r="E72" s="79"/>
      <c r="F72" s="79"/>
      <c r="G72" s="79"/>
      <c r="H72" s="80"/>
    </row>
    <row r="73" ht="15.75" customHeight="1">
      <c r="A73" s="79"/>
      <c r="B73" s="79"/>
      <c r="C73" s="79"/>
      <c r="D73" s="79"/>
      <c r="E73" s="79"/>
      <c r="F73" s="79"/>
      <c r="G73" s="79"/>
      <c r="H73" s="80"/>
    </row>
    <row r="74" ht="15.75" customHeight="1">
      <c r="A74" s="79"/>
      <c r="B74" s="79"/>
      <c r="C74" s="79"/>
      <c r="D74" s="79"/>
      <c r="E74" s="79"/>
      <c r="F74" s="79"/>
      <c r="G74" s="79"/>
      <c r="H74" s="80"/>
    </row>
    <row r="75" ht="15.75" customHeight="1">
      <c r="A75" s="79"/>
      <c r="B75" s="79"/>
      <c r="C75" s="79"/>
      <c r="D75" s="79"/>
      <c r="E75" s="79"/>
      <c r="F75" s="79"/>
      <c r="G75" s="79"/>
      <c r="H75" s="80"/>
    </row>
    <row r="76" ht="15.75" customHeight="1">
      <c r="A76" s="79"/>
      <c r="B76" s="79"/>
      <c r="C76" s="79"/>
      <c r="D76" s="79"/>
      <c r="E76" s="79"/>
      <c r="F76" s="79"/>
      <c r="G76" s="79"/>
      <c r="H76" s="80"/>
    </row>
    <row r="77" ht="15.75" customHeight="1">
      <c r="A77" s="79"/>
      <c r="B77" s="79"/>
      <c r="C77" s="79"/>
      <c r="D77" s="79"/>
      <c r="E77" s="79"/>
      <c r="F77" s="79"/>
      <c r="G77" s="79"/>
      <c r="H77" s="80"/>
    </row>
    <row r="78" ht="15.75" customHeight="1">
      <c r="A78" s="79"/>
      <c r="B78" s="79"/>
      <c r="C78" s="79"/>
      <c r="D78" s="79"/>
      <c r="E78" s="79"/>
      <c r="F78" s="79"/>
      <c r="G78" s="79"/>
      <c r="H78" s="80"/>
    </row>
    <row r="79" ht="15.75" customHeight="1">
      <c r="A79" s="79"/>
      <c r="B79" s="79"/>
      <c r="C79" s="79"/>
      <c r="D79" s="79"/>
      <c r="E79" s="79"/>
      <c r="F79" s="79"/>
      <c r="G79" s="79"/>
      <c r="H79" s="80"/>
    </row>
    <row r="80" ht="15.75" customHeight="1">
      <c r="A80" s="79"/>
      <c r="B80" s="79"/>
      <c r="C80" s="79"/>
      <c r="D80" s="79"/>
      <c r="E80" s="79"/>
      <c r="F80" s="79"/>
      <c r="G80" s="79"/>
      <c r="H80" s="80"/>
    </row>
    <row r="81" ht="15.75" customHeight="1">
      <c r="A81" s="79"/>
      <c r="B81" s="79"/>
      <c r="C81" s="79"/>
      <c r="D81" s="79"/>
      <c r="E81" s="79"/>
      <c r="F81" s="79"/>
      <c r="G81" s="79"/>
      <c r="H81" s="80"/>
    </row>
    <row r="82" ht="15.75" customHeight="1">
      <c r="A82" s="79"/>
      <c r="B82" s="79"/>
      <c r="C82" s="79"/>
      <c r="D82" s="79"/>
      <c r="E82" s="79"/>
      <c r="F82" s="79"/>
      <c r="G82" s="79"/>
      <c r="H82" s="80"/>
    </row>
    <row r="83" ht="15.75" customHeight="1">
      <c r="A83" s="79"/>
      <c r="B83" s="79"/>
      <c r="C83" s="79"/>
      <c r="D83" s="79"/>
      <c r="E83" s="79"/>
      <c r="F83" s="79"/>
      <c r="G83" s="79"/>
      <c r="H83" s="80"/>
    </row>
    <row r="84" ht="15.75" customHeight="1">
      <c r="A84" s="79"/>
      <c r="B84" s="79"/>
      <c r="C84" s="79"/>
      <c r="D84" s="79"/>
      <c r="E84" s="79"/>
      <c r="F84" s="79"/>
      <c r="G84" s="79"/>
      <c r="H84" s="80"/>
    </row>
    <row r="85" ht="15.75" customHeight="1">
      <c r="A85" s="79"/>
      <c r="B85" s="79"/>
      <c r="C85" s="79"/>
      <c r="D85" s="79"/>
      <c r="E85" s="79"/>
      <c r="F85" s="79"/>
      <c r="G85" s="79"/>
      <c r="H85" s="80"/>
    </row>
    <row r="86" ht="15.75" customHeight="1">
      <c r="A86" s="79"/>
      <c r="B86" s="79"/>
      <c r="C86" s="79"/>
      <c r="D86" s="79"/>
      <c r="E86" s="79"/>
      <c r="F86" s="79"/>
      <c r="G86" s="79"/>
      <c r="H86" s="80"/>
    </row>
    <row r="87" ht="15.75" customHeight="1">
      <c r="A87" s="79"/>
      <c r="B87" s="79"/>
      <c r="C87" s="79"/>
      <c r="D87" s="79"/>
      <c r="E87" s="79"/>
      <c r="F87" s="79"/>
      <c r="G87" s="79"/>
      <c r="H87" s="80"/>
    </row>
    <row r="88" ht="15.75" customHeight="1">
      <c r="A88" s="79"/>
      <c r="B88" s="79"/>
      <c r="C88" s="79"/>
      <c r="D88" s="79"/>
      <c r="E88" s="79"/>
      <c r="F88" s="79"/>
      <c r="G88" s="79"/>
      <c r="H88" s="80"/>
    </row>
    <row r="89" ht="15.75" customHeight="1"/>
    <row r="90" ht="15.75" customHeight="1">
      <c r="A90" s="25" t="s">
        <v>21</v>
      </c>
      <c r="B90" s="106"/>
      <c r="C90" s="26"/>
      <c r="D90" s="26"/>
      <c r="E90" s="26"/>
      <c r="F90" s="26"/>
      <c r="G90" s="26"/>
      <c r="H90" s="27"/>
    </row>
    <row r="91" ht="15.75" customHeight="1">
      <c r="A91" s="28"/>
      <c r="B91" s="51"/>
      <c r="H91" s="29"/>
    </row>
    <row r="92" ht="15.75" customHeight="1">
      <c r="A92" s="30" t="s">
        <v>22</v>
      </c>
      <c r="B92" s="31"/>
      <c r="C92" s="31"/>
      <c r="D92" s="31"/>
      <c r="F92" s="32" t="s">
        <v>23</v>
      </c>
      <c r="G92" s="31"/>
      <c r="H92" s="33"/>
    </row>
    <row r="93" ht="15.75" customHeight="1">
      <c r="A93" s="85" t="s">
        <v>24</v>
      </c>
      <c r="F93" s="1" t="s">
        <v>25</v>
      </c>
      <c r="H93" s="36"/>
    </row>
    <row r="94" ht="15.75" customHeight="1">
      <c r="A94" s="37" t="s">
        <v>26</v>
      </c>
      <c r="F94" s="38" t="s">
        <v>26</v>
      </c>
      <c r="H94" s="36"/>
    </row>
    <row r="95" ht="15.75" customHeight="1">
      <c r="A95" s="28"/>
      <c r="B95" s="51"/>
      <c r="H95" s="29"/>
    </row>
    <row r="96" ht="15.75" customHeight="1">
      <c r="A96" s="28"/>
      <c r="B96" s="51"/>
      <c r="D96" s="32" t="s">
        <v>55</v>
      </c>
      <c r="E96" s="31"/>
      <c r="F96" s="31"/>
      <c r="H96" s="29"/>
    </row>
    <row r="97" ht="15.75" customHeight="1">
      <c r="A97" s="28"/>
      <c r="B97" s="51"/>
      <c r="D97" s="1" t="s">
        <v>24</v>
      </c>
      <c r="H97" s="29"/>
    </row>
    <row r="98" ht="15.75" customHeight="1">
      <c r="A98" s="39"/>
      <c r="B98" s="40"/>
      <c r="C98" s="40"/>
      <c r="D98" s="41" t="s">
        <v>26</v>
      </c>
      <c r="E98" s="42"/>
      <c r="F98" s="42"/>
      <c r="G98" s="40"/>
      <c r="H98" s="43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8">
    <mergeCell ref="A1:H1"/>
    <mergeCell ref="K1:L1"/>
    <mergeCell ref="A2:H2"/>
    <mergeCell ref="A4:H4"/>
    <mergeCell ref="A6:C6"/>
    <mergeCell ref="D6:H6"/>
    <mergeCell ref="D7:H7"/>
    <mergeCell ref="A7:C7"/>
    <mergeCell ref="A8:C8"/>
    <mergeCell ref="D8:H8"/>
    <mergeCell ref="A10:F10"/>
    <mergeCell ref="A11:H11"/>
    <mergeCell ref="A12:H12"/>
    <mergeCell ref="F13:G13"/>
    <mergeCell ref="C13:E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F20:G20"/>
    <mergeCell ref="C20:E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F27:G27"/>
    <mergeCell ref="C27:E27"/>
    <mergeCell ref="C28:E28"/>
    <mergeCell ref="F28:G28"/>
    <mergeCell ref="C29:E29"/>
    <mergeCell ref="F29:G29"/>
    <mergeCell ref="C30:E30"/>
    <mergeCell ref="F30:G30"/>
    <mergeCell ref="C57:G57"/>
    <mergeCell ref="C58:G58"/>
    <mergeCell ref="C50:G50"/>
    <mergeCell ref="C51:G51"/>
    <mergeCell ref="C52:G52"/>
    <mergeCell ref="C53:G53"/>
    <mergeCell ref="C54:G54"/>
    <mergeCell ref="C55:G55"/>
    <mergeCell ref="C56:G56"/>
    <mergeCell ref="A56:B56"/>
    <mergeCell ref="A57:B57"/>
    <mergeCell ref="A58:B58"/>
    <mergeCell ref="A59:G59"/>
    <mergeCell ref="A60:H60"/>
    <mergeCell ref="B61:D61"/>
    <mergeCell ref="E61:G61"/>
    <mergeCell ref="B62:D62"/>
    <mergeCell ref="E62:G62"/>
    <mergeCell ref="B63:D63"/>
    <mergeCell ref="E63:G63"/>
    <mergeCell ref="B64:D64"/>
    <mergeCell ref="E64:G64"/>
    <mergeCell ref="A65:G65"/>
    <mergeCell ref="C31:E31"/>
    <mergeCell ref="F31:G31"/>
    <mergeCell ref="C32:E32"/>
    <mergeCell ref="F32:G32"/>
    <mergeCell ref="C33:E33"/>
    <mergeCell ref="F33:G33"/>
    <mergeCell ref="F34:G34"/>
    <mergeCell ref="C34:E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A44:G44"/>
    <mergeCell ref="A45:H45"/>
    <mergeCell ref="A46:B46"/>
    <mergeCell ref="C46:G46"/>
    <mergeCell ref="A47:B47"/>
    <mergeCell ref="C47:G47"/>
    <mergeCell ref="A48:B48"/>
    <mergeCell ref="C48:G48"/>
    <mergeCell ref="C49:G49"/>
    <mergeCell ref="A67:H67"/>
    <mergeCell ref="A68:F68"/>
    <mergeCell ref="A69:F69"/>
    <mergeCell ref="A70:F70"/>
    <mergeCell ref="A71:G71"/>
    <mergeCell ref="F92:H92"/>
    <mergeCell ref="A92:D92"/>
    <mergeCell ref="A93:D93"/>
    <mergeCell ref="F93:H93"/>
    <mergeCell ref="A94:D94"/>
    <mergeCell ref="F94:H94"/>
    <mergeCell ref="D96:F96"/>
    <mergeCell ref="D97:F97"/>
    <mergeCell ref="D98:F98"/>
    <mergeCell ref="A49:B49"/>
    <mergeCell ref="A50:B50"/>
    <mergeCell ref="A51:B51"/>
    <mergeCell ref="A52:B52"/>
    <mergeCell ref="A53:B53"/>
    <mergeCell ref="A54:B54"/>
    <mergeCell ref="A55:B55"/>
  </mergeCells>
  <dataValidations>
    <dataValidation type="list" allowBlank="1" showErrorMessage="1" sqref="A47:A58">
      <formula1>$I$47:$I$49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9.33"/>
    <col customWidth="1" min="4" max="4" width="10.89"/>
    <col customWidth="1" min="5" max="5" width="7.78"/>
    <col customWidth="1" min="6" max="6" width="8.89"/>
    <col customWidth="1" min="7" max="7" width="13.67"/>
    <col customWidth="1" min="8" max="8" width="12.78"/>
    <col customWidth="1" hidden="1" min="9" max="11" width="10.78"/>
    <col customWidth="1" hidden="1" min="12" max="12" width="10.89"/>
    <col customWidth="1" min="13" max="26" width="10.89"/>
  </cols>
  <sheetData>
    <row r="1">
      <c r="A1" s="1" t="s">
        <v>28</v>
      </c>
      <c r="I1" s="44" t="s">
        <v>29</v>
      </c>
      <c r="J1" s="44" t="s">
        <v>30</v>
      </c>
      <c r="K1" s="45"/>
    </row>
    <row r="2">
      <c r="A2" s="1" t="s">
        <v>1</v>
      </c>
      <c r="I2" s="46">
        <v>1.0</v>
      </c>
      <c r="J2" s="46">
        <v>30.0</v>
      </c>
    </row>
    <row r="3">
      <c r="I3" s="47">
        <v>1.07</v>
      </c>
      <c r="J3" s="47">
        <v>29.0</v>
      </c>
      <c r="K3" s="44" t="s">
        <v>31</v>
      </c>
    </row>
    <row r="4">
      <c r="A4" s="1" t="s">
        <v>56</v>
      </c>
      <c r="I4" s="47">
        <v>1.14</v>
      </c>
      <c r="J4" s="47">
        <v>28.0</v>
      </c>
      <c r="K4" s="44" t="s">
        <v>33</v>
      </c>
    </row>
    <row r="5">
      <c r="I5" s="47">
        <v>1.21</v>
      </c>
      <c r="J5" s="47">
        <v>27.0</v>
      </c>
      <c r="K5" s="44" t="s">
        <v>34</v>
      </c>
    </row>
    <row r="6">
      <c r="A6" s="48" t="s">
        <v>3</v>
      </c>
      <c r="B6" s="5"/>
      <c r="C6" s="3"/>
      <c r="D6" s="49" t="str">
        <f>SUMMARY!C6</f>
        <v/>
      </c>
      <c r="E6" s="5"/>
      <c r="F6" s="5"/>
      <c r="G6" s="5"/>
      <c r="H6" s="6"/>
      <c r="I6" s="47">
        <v>1.28</v>
      </c>
      <c r="J6" s="47">
        <v>26.0</v>
      </c>
      <c r="K6" s="44" t="s">
        <v>35</v>
      </c>
    </row>
    <row r="7">
      <c r="A7" s="19" t="s">
        <v>4</v>
      </c>
      <c r="B7" s="10"/>
      <c r="C7" s="8"/>
      <c r="D7" s="50" t="str">
        <f>SUMMARY!C7</f>
        <v/>
      </c>
      <c r="E7" s="10"/>
      <c r="F7" s="10"/>
      <c r="G7" s="10"/>
      <c r="H7" s="11"/>
      <c r="I7" s="47">
        <v>1.35</v>
      </c>
      <c r="J7" s="47">
        <v>25.0</v>
      </c>
      <c r="K7" s="51" t="s">
        <v>36</v>
      </c>
      <c r="L7" s="51"/>
    </row>
    <row r="8">
      <c r="A8" s="52" t="s">
        <v>5</v>
      </c>
      <c r="B8" s="15"/>
      <c r="C8" s="13"/>
      <c r="D8" s="53" t="str">
        <f>SUMMARY!C8</f>
        <v/>
      </c>
      <c r="E8" s="15"/>
      <c r="F8" s="15"/>
      <c r="G8" s="15"/>
      <c r="H8" s="16"/>
      <c r="I8" s="47">
        <v>1.41</v>
      </c>
      <c r="J8" s="47">
        <v>24.0</v>
      </c>
      <c r="K8" s="44" t="s">
        <v>37</v>
      </c>
    </row>
    <row r="9">
      <c r="I9" s="47">
        <v>1.48</v>
      </c>
      <c r="J9" s="47">
        <v>23.0</v>
      </c>
      <c r="K9" s="44" t="s">
        <v>38</v>
      </c>
    </row>
    <row r="10">
      <c r="A10" s="86" t="s">
        <v>14</v>
      </c>
      <c r="B10" s="10"/>
      <c r="C10" s="10"/>
      <c r="D10" s="10"/>
      <c r="E10" s="10"/>
      <c r="F10" s="8"/>
      <c r="G10" s="87"/>
      <c r="H10" s="87"/>
      <c r="I10" s="64">
        <v>1.55</v>
      </c>
      <c r="J10" s="47">
        <v>22.0</v>
      </c>
      <c r="K10" s="44" t="s">
        <v>40</v>
      </c>
    </row>
    <row r="11">
      <c r="A11" s="88" t="s">
        <v>79</v>
      </c>
      <c r="B11" s="10"/>
      <c r="C11" s="10"/>
      <c r="D11" s="10"/>
      <c r="E11" s="10"/>
      <c r="F11" s="10"/>
      <c r="G11" s="10"/>
      <c r="H11" s="8"/>
      <c r="I11" s="64"/>
      <c r="J11" s="47"/>
    </row>
    <row r="12">
      <c r="A12" s="88" t="s">
        <v>58</v>
      </c>
      <c r="B12" s="10"/>
      <c r="C12" s="10"/>
      <c r="D12" s="10"/>
      <c r="E12" s="10"/>
      <c r="F12" s="10"/>
      <c r="G12" s="10"/>
      <c r="H12" s="8"/>
      <c r="I12" s="64"/>
      <c r="J12" s="47"/>
    </row>
    <row r="13">
      <c r="A13" s="89" t="s">
        <v>80</v>
      </c>
      <c r="B13" s="89" t="s">
        <v>81</v>
      </c>
      <c r="C13" s="90" t="s">
        <v>61</v>
      </c>
      <c r="D13" s="10"/>
      <c r="E13" s="8"/>
      <c r="F13" s="91" t="s">
        <v>62</v>
      </c>
      <c r="G13" s="8"/>
      <c r="H13" s="92" t="s">
        <v>48</v>
      </c>
      <c r="I13" s="64"/>
      <c r="J13" s="47"/>
    </row>
    <row r="14">
      <c r="A14" s="93"/>
      <c r="B14" s="93"/>
      <c r="C14" s="91"/>
      <c r="D14" s="10"/>
      <c r="E14" s="8"/>
      <c r="F14" s="91"/>
      <c r="G14" s="8"/>
      <c r="H14" s="92">
        <f t="shared" ref="H14:H53" si="1">MIN(K14* 0.4, 2)</f>
        <v>0</v>
      </c>
      <c r="I14" s="64"/>
      <c r="J14" s="47"/>
      <c r="K14" s="94">
        <f t="shared" ref="K14:K53" si="2">B14-A14</f>
        <v>0</v>
      </c>
      <c r="L14" s="44">
        <f>0.2*5</f>
        <v>1</v>
      </c>
    </row>
    <row r="15">
      <c r="A15" s="93"/>
      <c r="B15" s="93"/>
      <c r="C15" s="91"/>
      <c r="D15" s="10"/>
      <c r="E15" s="8"/>
      <c r="F15" s="91"/>
      <c r="G15" s="8"/>
      <c r="H15" s="92">
        <f t="shared" si="1"/>
        <v>0</v>
      </c>
      <c r="I15" s="64"/>
      <c r="J15" s="47"/>
      <c r="K15" s="94">
        <f t="shared" si="2"/>
        <v>0</v>
      </c>
    </row>
    <row r="16">
      <c r="A16" s="93"/>
      <c r="B16" s="93"/>
      <c r="C16" s="91"/>
      <c r="D16" s="10"/>
      <c r="E16" s="8"/>
      <c r="F16" s="91"/>
      <c r="G16" s="8"/>
      <c r="H16" s="92">
        <f t="shared" si="1"/>
        <v>0</v>
      </c>
      <c r="I16" s="64"/>
      <c r="J16" s="47"/>
      <c r="K16" s="94">
        <f t="shared" si="2"/>
        <v>0</v>
      </c>
    </row>
    <row r="17">
      <c r="A17" s="93"/>
      <c r="B17" s="93"/>
      <c r="C17" s="91"/>
      <c r="D17" s="10"/>
      <c r="E17" s="8"/>
      <c r="F17" s="91"/>
      <c r="G17" s="8"/>
      <c r="H17" s="92">
        <f t="shared" si="1"/>
        <v>0</v>
      </c>
      <c r="I17" s="64"/>
      <c r="J17" s="47"/>
      <c r="K17" s="94">
        <f t="shared" si="2"/>
        <v>0</v>
      </c>
    </row>
    <row r="18">
      <c r="A18" s="93"/>
      <c r="B18" s="93"/>
      <c r="C18" s="91"/>
      <c r="D18" s="10"/>
      <c r="E18" s="8"/>
      <c r="F18" s="91"/>
      <c r="G18" s="8"/>
      <c r="H18" s="92">
        <f t="shared" si="1"/>
        <v>0</v>
      </c>
      <c r="I18" s="64"/>
      <c r="J18" s="47"/>
      <c r="K18" s="94">
        <f t="shared" si="2"/>
        <v>0</v>
      </c>
    </row>
    <row r="19">
      <c r="A19" s="93"/>
      <c r="B19" s="93"/>
      <c r="C19" s="91"/>
      <c r="D19" s="10"/>
      <c r="E19" s="8"/>
      <c r="F19" s="91"/>
      <c r="G19" s="8"/>
      <c r="H19" s="92">
        <f t="shared" si="1"/>
        <v>0</v>
      </c>
      <c r="I19" s="64"/>
      <c r="J19" s="47"/>
      <c r="K19" s="94">
        <f t="shared" si="2"/>
        <v>0</v>
      </c>
    </row>
    <row r="20">
      <c r="A20" s="93"/>
      <c r="B20" s="93"/>
      <c r="C20" s="91"/>
      <c r="D20" s="10"/>
      <c r="E20" s="8"/>
      <c r="F20" s="91"/>
      <c r="G20" s="8"/>
      <c r="H20" s="92">
        <f t="shared" si="1"/>
        <v>0</v>
      </c>
      <c r="I20" s="64"/>
      <c r="J20" s="47"/>
      <c r="K20" s="94">
        <f t="shared" si="2"/>
        <v>0</v>
      </c>
    </row>
    <row r="21" ht="15.75" customHeight="1">
      <c r="A21" s="93"/>
      <c r="B21" s="93"/>
      <c r="C21" s="91"/>
      <c r="D21" s="10"/>
      <c r="E21" s="8"/>
      <c r="F21" s="91"/>
      <c r="G21" s="8"/>
      <c r="H21" s="92">
        <f t="shared" si="1"/>
        <v>0</v>
      </c>
      <c r="I21" s="64"/>
      <c r="J21" s="47"/>
      <c r="K21" s="94">
        <f t="shared" si="2"/>
        <v>0</v>
      </c>
    </row>
    <row r="22" ht="15.75" customHeight="1">
      <c r="A22" s="93"/>
      <c r="B22" s="93"/>
      <c r="C22" s="91"/>
      <c r="D22" s="10"/>
      <c r="E22" s="8"/>
      <c r="F22" s="91"/>
      <c r="G22" s="8"/>
      <c r="H22" s="92">
        <f t="shared" si="1"/>
        <v>0</v>
      </c>
      <c r="I22" s="64"/>
      <c r="J22" s="47"/>
      <c r="K22" s="94">
        <f t="shared" si="2"/>
        <v>0</v>
      </c>
    </row>
    <row r="23" ht="15.75" customHeight="1">
      <c r="A23" s="93"/>
      <c r="B23" s="93"/>
      <c r="C23" s="91"/>
      <c r="D23" s="10"/>
      <c r="E23" s="8"/>
      <c r="F23" s="91"/>
      <c r="G23" s="8"/>
      <c r="H23" s="92">
        <f t="shared" si="1"/>
        <v>0</v>
      </c>
      <c r="I23" s="64"/>
      <c r="J23" s="47"/>
      <c r="K23" s="94">
        <f t="shared" si="2"/>
        <v>0</v>
      </c>
    </row>
    <row r="24" ht="15.75" customHeight="1">
      <c r="A24" s="93"/>
      <c r="B24" s="93"/>
      <c r="C24" s="91"/>
      <c r="D24" s="10"/>
      <c r="E24" s="8"/>
      <c r="F24" s="91"/>
      <c r="G24" s="8"/>
      <c r="H24" s="92">
        <f t="shared" si="1"/>
        <v>0</v>
      </c>
      <c r="I24" s="64"/>
      <c r="J24" s="47"/>
      <c r="K24" s="94">
        <f t="shared" si="2"/>
        <v>0</v>
      </c>
    </row>
    <row r="25" ht="15.75" customHeight="1">
      <c r="A25" s="93"/>
      <c r="B25" s="93"/>
      <c r="C25" s="91"/>
      <c r="D25" s="10"/>
      <c r="E25" s="8"/>
      <c r="F25" s="91"/>
      <c r="G25" s="8"/>
      <c r="H25" s="92">
        <f t="shared" si="1"/>
        <v>0</v>
      </c>
      <c r="I25" s="64"/>
      <c r="J25" s="47"/>
      <c r="K25" s="94">
        <f t="shared" si="2"/>
        <v>0</v>
      </c>
    </row>
    <row r="26" ht="15.75" customHeight="1">
      <c r="A26" s="93"/>
      <c r="B26" s="93"/>
      <c r="C26" s="91"/>
      <c r="D26" s="10"/>
      <c r="E26" s="8"/>
      <c r="F26" s="91"/>
      <c r="G26" s="8"/>
      <c r="H26" s="92">
        <f t="shared" si="1"/>
        <v>0</v>
      </c>
      <c r="I26" s="64"/>
      <c r="J26" s="47"/>
      <c r="K26" s="94">
        <f t="shared" si="2"/>
        <v>0</v>
      </c>
    </row>
    <row r="27" ht="15.75" customHeight="1">
      <c r="A27" s="93"/>
      <c r="B27" s="93"/>
      <c r="C27" s="91"/>
      <c r="D27" s="10"/>
      <c r="E27" s="8"/>
      <c r="F27" s="91"/>
      <c r="G27" s="8"/>
      <c r="H27" s="92">
        <f t="shared" si="1"/>
        <v>0</v>
      </c>
      <c r="I27" s="64"/>
      <c r="J27" s="47"/>
      <c r="K27" s="94">
        <f t="shared" si="2"/>
        <v>0</v>
      </c>
    </row>
    <row r="28" ht="15.75" customHeight="1">
      <c r="A28" s="93"/>
      <c r="B28" s="93"/>
      <c r="C28" s="91"/>
      <c r="D28" s="10"/>
      <c r="E28" s="8"/>
      <c r="F28" s="91"/>
      <c r="G28" s="8"/>
      <c r="H28" s="92">
        <f t="shared" si="1"/>
        <v>0</v>
      </c>
      <c r="I28" s="64"/>
      <c r="J28" s="47"/>
      <c r="K28" s="94">
        <f t="shared" si="2"/>
        <v>0</v>
      </c>
    </row>
    <row r="29" ht="15.75" customHeight="1">
      <c r="A29" s="93"/>
      <c r="B29" s="93"/>
      <c r="C29" s="91"/>
      <c r="D29" s="10"/>
      <c r="E29" s="8"/>
      <c r="F29" s="91"/>
      <c r="G29" s="8"/>
      <c r="H29" s="92">
        <f t="shared" si="1"/>
        <v>0</v>
      </c>
      <c r="I29" s="64"/>
      <c r="J29" s="47"/>
      <c r="K29" s="94">
        <f t="shared" si="2"/>
        <v>0</v>
      </c>
    </row>
    <row r="30" ht="15.75" customHeight="1">
      <c r="A30" s="93"/>
      <c r="B30" s="93"/>
      <c r="C30" s="91"/>
      <c r="D30" s="10"/>
      <c r="E30" s="8"/>
      <c r="F30" s="91"/>
      <c r="G30" s="8"/>
      <c r="H30" s="92">
        <f t="shared" si="1"/>
        <v>0</v>
      </c>
      <c r="I30" s="64"/>
      <c r="J30" s="47"/>
      <c r="K30" s="94">
        <f t="shared" si="2"/>
        <v>0</v>
      </c>
    </row>
    <row r="31" ht="15.75" customHeight="1">
      <c r="A31" s="93"/>
      <c r="B31" s="93"/>
      <c r="C31" s="91"/>
      <c r="D31" s="10"/>
      <c r="E31" s="8"/>
      <c r="F31" s="91"/>
      <c r="G31" s="8"/>
      <c r="H31" s="92">
        <f t="shared" si="1"/>
        <v>0</v>
      </c>
      <c r="I31" s="64"/>
      <c r="J31" s="47"/>
      <c r="K31" s="94">
        <f t="shared" si="2"/>
        <v>0</v>
      </c>
    </row>
    <row r="32" ht="15.75" customHeight="1">
      <c r="A32" s="93"/>
      <c r="B32" s="93"/>
      <c r="C32" s="91"/>
      <c r="D32" s="10"/>
      <c r="E32" s="8"/>
      <c r="F32" s="91"/>
      <c r="G32" s="8"/>
      <c r="H32" s="92">
        <f t="shared" si="1"/>
        <v>0</v>
      </c>
      <c r="I32" s="64"/>
      <c r="J32" s="47"/>
      <c r="K32" s="94">
        <f t="shared" si="2"/>
        <v>0</v>
      </c>
    </row>
    <row r="33" ht="15.75" customHeight="1">
      <c r="A33" s="93"/>
      <c r="B33" s="93"/>
      <c r="C33" s="91"/>
      <c r="D33" s="10"/>
      <c r="E33" s="8"/>
      <c r="F33" s="91"/>
      <c r="G33" s="8"/>
      <c r="H33" s="92">
        <f t="shared" si="1"/>
        <v>0</v>
      </c>
      <c r="I33" s="64"/>
      <c r="J33" s="47"/>
      <c r="K33" s="94">
        <f t="shared" si="2"/>
        <v>0</v>
      </c>
    </row>
    <row r="34" ht="15.75" customHeight="1">
      <c r="A34" s="93"/>
      <c r="B34" s="93"/>
      <c r="C34" s="91"/>
      <c r="D34" s="10"/>
      <c r="E34" s="8"/>
      <c r="F34" s="91"/>
      <c r="G34" s="8"/>
      <c r="H34" s="92">
        <f t="shared" si="1"/>
        <v>0</v>
      </c>
      <c r="I34" s="64"/>
      <c r="J34" s="47"/>
      <c r="K34" s="94">
        <f t="shared" si="2"/>
        <v>0</v>
      </c>
    </row>
    <row r="35" ht="15.75" customHeight="1">
      <c r="A35" s="93"/>
      <c r="B35" s="93"/>
      <c r="C35" s="91"/>
      <c r="D35" s="10"/>
      <c r="E35" s="8"/>
      <c r="F35" s="91"/>
      <c r="G35" s="8"/>
      <c r="H35" s="92">
        <f t="shared" si="1"/>
        <v>0</v>
      </c>
      <c r="I35" s="64"/>
      <c r="J35" s="47"/>
      <c r="K35" s="94">
        <f t="shared" si="2"/>
        <v>0</v>
      </c>
    </row>
    <row r="36" ht="15.75" customHeight="1">
      <c r="A36" s="93"/>
      <c r="B36" s="93"/>
      <c r="C36" s="91"/>
      <c r="D36" s="10"/>
      <c r="E36" s="8"/>
      <c r="F36" s="91"/>
      <c r="G36" s="8"/>
      <c r="H36" s="92">
        <f t="shared" si="1"/>
        <v>0</v>
      </c>
      <c r="I36" s="64"/>
      <c r="J36" s="47"/>
      <c r="K36" s="94">
        <f t="shared" si="2"/>
        <v>0</v>
      </c>
    </row>
    <row r="37" ht="15.75" customHeight="1">
      <c r="A37" s="93"/>
      <c r="B37" s="93"/>
      <c r="C37" s="91"/>
      <c r="D37" s="10"/>
      <c r="E37" s="8"/>
      <c r="F37" s="91"/>
      <c r="G37" s="8"/>
      <c r="H37" s="92">
        <f t="shared" si="1"/>
        <v>0</v>
      </c>
      <c r="I37" s="64"/>
      <c r="J37" s="47"/>
      <c r="K37" s="94">
        <f t="shared" si="2"/>
        <v>0</v>
      </c>
    </row>
    <row r="38" ht="15.75" customHeight="1">
      <c r="A38" s="93"/>
      <c r="B38" s="93"/>
      <c r="C38" s="91"/>
      <c r="D38" s="10"/>
      <c r="E38" s="8"/>
      <c r="F38" s="91"/>
      <c r="G38" s="8"/>
      <c r="H38" s="92">
        <f t="shared" si="1"/>
        <v>0</v>
      </c>
      <c r="I38" s="64"/>
      <c r="J38" s="47"/>
      <c r="K38" s="94">
        <f t="shared" si="2"/>
        <v>0</v>
      </c>
    </row>
    <row r="39" ht="15.75" customHeight="1">
      <c r="A39" s="93"/>
      <c r="B39" s="93"/>
      <c r="C39" s="91"/>
      <c r="D39" s="10"/>
      <c r="E39" s="8"/>
      <c r="F39" s="91"/>
      <c r="G39" s="8"/>
      <c r="H39" s="92">
        <f t="shared" si="1"/>
        <v>0</v>
      </c>
      <c r="I39" s="64"/>
      <c r="J39" s="47"/>
      <c r="K39" s="94">
        <f t="shared" si="2"/>
        <v>0</v>
      </c>
    </row>
    <row r="40" ht="15.75" customHeight="1">
      <c r="A40" s="93"/>
      <c r="B40" s="93"/>
      <c r="C40" s="91"/>
      <c r="D40" s="10"/>
      <c r="E40" s="8"/>
      <c r="F40" s="91"/>
      <c r="G40" s="8"/>
      <c r="H40" s="92">
        <f t="shared" si="1"/>
        <v>0</v>
      </c>
      <c r="I40" s="64"/>
      <c r="J40" s="47"/>
      <c r="K40" s="94">
        <f t="shared" si="2"/>
        <v>0</v>
      </c>
    </row>
    <row r="41" ht="15.75" customHeight="1">
      <c r="A41" s="93"/>
      <c r="B41" s="93"/>
      <c r="C41" s="91"/>
      <c r="D41" s="10"/>
      <c r="E41" s="8"/>
      <c r="F41" s="91"/>
      <c r="G41" s="8"/>
      <c r="H41" s="92">
        <f t="shared" si="1"/>
        <v>0</v>
      </c>
      <c r="I41" s="64"/>
      <c r="J41" s="47"/>
      <c r="K41" s="94">
        <f t="shared" si="2"/>
        <v>0</v>
      </c>
    </row>
    <row r="42" ht="15.75" customHeight="1">
      <c r="A42" s="93"/>
      <c r="B42" s="93"/>
      <c r="C42" s="91"/>
      <c r="D42" s="10"/>
      <c r="E42" s="8"/>
      <c r="F42" s="91"/>
      <c r="G42" s="8"/>
      <c r="H42" s="92">
        <f t="shared" si="1"/>
        <v>0</v>
      </c>
      <c r="I42" s="64"/>
      <c r="J42" s="47"/>
      <c r="K42" s="94">
        <f t="shared" si="2"/>
        <v>0</v>
      </c>
    </row>
    <row r="43" ht="15.75" customHeight="1">
      <c r="A43" s="93"/>
      <c r="B43" s="93"/>
      <c r="C43" s="91"/>
      <c r="D43" s="10"/>
      <c r="E43" s="8"/>
      <c r="F43" s="91"/>
      <c r="G43" s="8"/>
      <c r="H43" s="92">
        <f t="shared" si="1"/>
        <v>0</v>
      </c>
      <c r="I43" s="64"/>
      <c r="J43" s="47"/>
      <c r="K43" s="94">
        <f t="shared" si="2"/>
        <v>0</v>
      </c>
    </row>
    <row r="44" ht="15.75" customHeight="1">
      <c r="A44" s="93"/>
      <c r="B44" s="93"/>
      <c r="C44" s="91"/>
      <c r="D44" s="10"/>
      <c r="E44" s="8"/>
      <c r="F44" s="91"/>
      <c r="G44" s="8"/>
      <c r="H44" s="92">
        <f t="shared" si="1"/>
        <v>0</v>
      </c>
      <c r="I44" s="64"/>
      <c r="J44" s="47"/>
      <c r="K44" s="94">
        <f t="shared" si="2"/>
        <v>0</v>
      </c>
    </row>
    <row r="45" ht="15.75" customHeight="1">
      <c r="A45" s="93"/>
      <c r="B45" s="93"/>
      <c r="C45" s="91"/>
      <c r="D45" s="10"/>
      <c r="E45" s="8"/>
      <c r="F45" s="91"/>
      <c r="G45" s="8"/>
      <c r="H45" s="92">
        <f t="shared" si="1"/>
        <v>0</v>
      </c>
      <c r="I45" s="64"/>
      <c r="J45" s="47"/>
      <c r="K45" s="94">
        <f t="shared" si="2"/>
        <v>0</v>
      </c>
    </row>
    <row r="46" ht="15.75" customHeight="1">
      <c r="A46" s="93"/>
      <c r="B46" s="93"/>
      <c r="C46" s="91"/>
      <c r="D46" s="10"/>
      <c r="E46" s="8"/>
      <c r="F46" s="91"/>
      <c r="G46" s="8"/>
      <c r="H46" s="92">
        <f t="shared" si="1"/>
        <v>0</v>
      </c>
      <c r="I46" s="64"/>
      <c r="J46" s="47"/>
      <c r="K46" s="94">
        <f t="shared" si="2"/>
        <v>0</v>
      </c>
    </row>
    <row r="47" ht="15.75" customHeight="1">
      <c r="A47" s="93"/>
      <c r="B47" s="93"/>
      <c r="C47" s="91"/>
      <c r="D47" s="10"/>
      <c r="E47" s="8"/>
      <c r="F47" s="91"/>
      <c r="G47" s="8"/>
      <c r="H47" s="92">
        <f t="shared" si="1"/>
        <v>0</v>
      </c>
      <c r="I47" s="64"/>
      <c r="J47" s="47"/>
      <c r="K47" s="94">
        <f t="shared" si="2"/>
        <v>0</v>
      </c>
    </row>
    <row r="48" ht="15.75" customHeight="1">
      <c r="A48" s="93"/>
      <c r="B48" s="93"/>
      <c r="C48" s="91"/>
      <c r="D48" s="10"/>
      <c r="E48" s="8"/>
      <c r="F48" s="91"/>
      <c r="G48" s="8"/>
      <c r="H48" s="92">
        <f t="shared" si="1"/>
        <v>0</v>
      </c>
      <c r="I48" s="64"/>
      <c r="J48" s="47"/>
      <c r="K48" s="94">
        <f t="shared" si="2"/>
        <v>0</v>
      </c>
    </row>
    <row r="49" ht="15.75" customHeight="1">
      <c r="A49" s="93"/>
      <c r="B49" s="93"/>
      <c r="C49" s="91"/>
      <c r="D49" s="10"/>
      <c r="E49" s="8"/>
      <c r="F49" s="91"/>
      <c r="G49" s="8"/>
      <c r="H49" s="92">
        <f t="shared" si="1"/>
        <v>0</v>
      </c>
      <c r="I49" s="64"/>
      <c r="J49" s="47"/>
      <c r="K49" s="94">
        <f t="shared" si="2"/>
        <v>0</v>
      </c>
    </row>
    <row r="50" ht="15.75" customHeight="1">
      <c r="A50" s="93"/>
      <c r="B50" s="93"/>
      <c r="C50" s="91"/>
      <c r="D50" s="10"/>
      <c r="E50" s="8"/>
      <c r="F50" s="91"/>
      <c r="G50" s="8"/>
      <c r="H50" s="92">
        <f t="shared" si="1"/>
        <v>0</v>
      </c>
      <c r="I50" s="64"/>
      <c r="J50" s="47"/>
      <c r="K50" s="94">
        <f t="shared" si="2"/>
        <v>0</v>
      </c>
    </row>
    <row r="51" ht="15.75" customHeight="1">
      <c r="A51" s="93"/>
      <c r="B51" s="93"/>
      <c r="C51" s="91"/>
      <c r="D51" s="10"/>
      <c r="E51" s="8"/>
      <c r="F51" s="91"/>
      <c r="G51" s="8"/>
      <c r="H51" s="92">
        <f t="shared" si="1"/>
        <v>0</v>
      </c>
      <c r="I51" s="64"/>
      <c r="J51" s="47"/>
      <c r="K51" s="94">
        <f t="shared" si="2"/>
        <v>0</v>
      </c>
    </row>
    <row r="52" ht="15.75" customHeight="1">
      <c r="A52" s="93"/>
      <c r="B52" s="93"/>
      <c r="C52" s="91"/>
      <c r="D52" s="10"/>
      <c r="E52" s="8"/>
      <c r="F52" s="91"/>
      <c r="G52" s="8"/>
      <c r="H52" s="92">
        <f t="shared" si="1"/>
        <v>0</v>
      </c>
      <c r="I52" s="64"/>
      <c r="J52" s="47"/>
      <c r="K52" s="94">
        <f t="shared" si="2"/>
        <v>0</v>
      </c>
    </row>
    <row r="53" ht="15.75" customHeight="1">
      <c r="A53" s="93"/>
      <c r="B53" s="93"/>
      <c r="C53" s="91"/>
      <c r="D53" s="10"/>
      <c r="E53" s="8"/>
      <c r="F53" s="91"/>
      <c r="G53" s="8"/>
      <c r="H53" s="92">
        <f t="shared" si="1"/>
        <v>0</v>
      </c>
      <c r="I53" s="64"/>
      <c r="J53" s="47"/>
      <c r="K53" s="94">
        <f t="shared" si="2"/>
        <v>0</v>
      </c>
    </row>
    <row r="54" ht="15.0" customHeight="1">
      <c r="A54" s="95" t="s">
        <v>49</v>
      </c>
      <c r="B54" s="10"/>
      <c r="C54" s="10"/>
      <c r="D54" s="10"/>
      <c r="E54" s="10"/>
      <c r="F54" s="10"/>
      <c r="G54" s="8"/>
      <c r="H54" s="89">
        <f>SUM(H14:H53)</f>
        <v>0</v>
      </c>
      <c r="I54" s="96"/>
      <c r="J54" s="96"/>
      <c r="K54" s="96"/>
      <c r="L54" s="96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5.0" customHeight="1">
      <c r="A55" s="88" t="s">
        <v>82</v>
      </c>
      <c r="B55" s="10"/>
      <c r="C55" s="10"/>
      <c r="D55" s="10"/>
      <c r="E55" s="10"/>
      <c r="F55" s="10"/>
      <c r="G55" s="10"/>
      <c r="H55" s="8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0" customHeight="1">
      <c r="A56" s="98" t="s">
        <v>64</v>
      </c>
      <c r="B56" s="8"/>
      <c r="C56" s="98" t="s">
        <v>65</v>
      </c>
      <c r="D56" s="10"/>
      <c r="E56" s="10"/>
      <c r="F56" s="10"/>
      <c r="G56" s="8"/>
      <c r="H56" s="99" t="s">
        <v>48</v>
      </c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0" customHeight="1">
      <c r="A57" s="100"/>
      <c r="B57" s="8"/>
      <c r="C57" s="100"/>
      <c r="D57" s="10"/>
      <c r="E57" s="10"/>
      <c r="F57" s="10"/>
      <c r="G57" s="8"/>
      <c r="H57" s="101" t="str">
        <f t="shared" ref="H57:H78" si="3">IF(A57="", "", IF(A57="President",0.75,IF(A57="Vice President",0.5,0.25)))</f>
        <v/>
      </c>
      <c r="I57" s="74" t="s">
        <v>66</v>
      </c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0" customHeight="1">
      <c r="A58" s="100"/>
      <c r="B58" s="8"/>
      <c r="C58" s="100"/>
      <c r="D58" s="10"/>
      <c r="E58" s="10"/>
      <c r="F58" s="10"/>
      <c r="G58" s="8"/>
      <c r="H58" s="101" t="str">
        <f t="shared" si="3"/>
        <v/>
      </c>
      <c r="I58" s="64" t="s">
        <v>67</v>
      </c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0" customHeight="1">
      <c r="A59" s="100"/>
      <c r="B59" s="8"/>
      <c r="C59" s="100"/>
      <c r="D59" s="10"/>
      <c r="E59" s="10"/>
      <c r="F59" s="10"/>
      <c r="G59" s="8"/>
      <c r="H59" s="101" t="str">
        <f t="shared" si="3"/>
        <v/>
      </c>
      <c r="I59" s="64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5.0" customHeight="1">
      <c r="A60" s="100"/>
      <c r="B60" s="8"/>
      <c r="C60" s="100"/>
      <c r="D60" s="10"/>
      <c r="E60" s="10"/>
      <c r="F60" s="10"/>
      <c r="G60" s="8"/>
      <c r="H60" s="101" t="str">
        <f t="shared" si="3"/>
        <v/>
      </c>
      <c r="I60" s="64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5.0" customHeight="1">
      <c r="A61" s="100"/>
      <c r="B61" s="8"/>
      <c r="C61" s="100"/>
      <c r="D61" s="10"/>
      <c r="E61" s="10"/>
      <c r="F61" s="10"/>
      <c r="G61" s="8"/>
      <c r="H61" s="101" t="str">
        <f t="shared" si="3"/>
        <v/>
      </c>
      <c r="I61" s="64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5.0" customHeight="1">
      <c r="A62" s="100"/>
      <c r="B62" s="8"/>
      <c r="C62" s="100"/>
      <c r="D62" s="10"/>
      <c r="E62" s="10"/>
      <c r="F62" s="10"/>
      <c r="G62" s="8"/>
      <c r="H62" s="101" t="str">
        <f t="shared" si="3"/>
        <v/>
      </c>
      <c r="I62" s="64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5.0" customHeight="1">
      <c r="A63" s="100"/>
      <c r="B63" s="8"/>
      <c r="C63" s="100"/>
      <c r="D63" s="10"/>
      <c r="E63" s="10"/>
      <c r="F63" s="10"/>
      <c r="G63" s="8"/>
      <c r="H63" s="101" t="str">
        <f t="shared" si="3"/>
        <v/>
      </c>
      <c r="I63" s="64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5.0" customHeight="1">
      <c r="A64" s="100"/>
      <c r="B64" s="8"/>
      <c r="C64" s="100"/>
      <c r="D64" s="10"/>
      <c r="E64" s="10"/>
      <c r="F64" s="10"/>
      <c r="G64" s="8"/>
      <c r="H64" s="101" t="str">
        <f t="shared" si="3"/>
        <v/>
      </c>
      <c r="I64" s="64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5.0" customHeight="1">
      <c r="A65" s="100"/>
      <c r="B65" s="8"/>
      <c r="C65" s="100"/>
      <c r="D65" s="10"/>
      <c r="E65" s="10"/>
      <c r="F65" s="10"/>
      <c r="G65" s="8"/>
      <c r="H65" s="101" t="str">
        <f t="shared" si="3"/>
        <v/>
      </c>
      <c r="I65" s="64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5.0" customHeight="1">
      <c r="A66" s="100"/>
      <c r="B66" s="8"/>
      <c r="C66" s="100"/>
      <c r="D66" s="10"/>
      <c r="E66" s="10"/>
      <c r="F66" s="10"/>
      <c r="G66" s="8"/>
      <c r="H66" s="101" t="str">
        <f t="shared" si="3"/>
        <v/>
      </c>
      <c r="I66" s="64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5.0" customHeight="1">
      <c r="A67" s="100"/>
      <c r="B67" s="8"/>
      <c r="C67" s="100"/>
      <c r="D67" s="10"/>
      <c r="E67" s="10"/>
      <c r="F67" s="10"/>
      <c r="G67" s="8"/>
      <c r="H67" s="101" t="str">
        <f t="shared" si="3"/>
        <v/>
      </c>
      <c r="I67" s="64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5.0" customHeight="1">
      <c r="A68" s="100"/>
      <c r="B68" s="8"/>
      <c r="C68" s="100"/>
      <c r="D68" s="10"/>
      <c r="E68" s="10"/>
      <c r="F68" s="10"/>
      <c r="G68" s="8"/>
      <c r="H68" s="101" t="str">
        <f t="shared" si="3"/>
        <v/>
      </c>
      <c r="I68" s="64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5.0" customHeight="1">
      <c r="A69" s="100"/>
      <c r="B69" s="8"/>
      <c r="C69" s="100"/>
      <c r="D69" s="10"/>
      <c r="E69" s="10"/>
      <c r="F69" s="10"/>
      <c r="G69" s="8"/>
      <c r="H69" s="101" t="str">
        <f t="shared" si="3"/>
        <v/>
      </c>
      <c r="I69" s="64" t="s">
        <v>68</v>
      </c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5.0" customHeight="1">
      <c r="A70" s="100"/>
      <c r="B70" s="8"/>
      <c r="C70" s="100"/>
      <c r="D70" s="10"/>
      <c r="E70" s="10"/>
      <c r="F70" s="10"/>
      <c r="G70" s="8"/>
      <c r="H70" s="101" t="str">
        <f t="shared" si="3"/>
        <v/>
      </c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5.0" customHeight="1">
      <c r="A71" s="100"/>
      <c r="B71" s="8"/>
      <c r="C71" s="100"/>
      <c r="D71" s="10"/>
      <c r="E71" s="10"/>
      <c r="F71" s="10"/>
      <c r="G71" s="8"/>
      <c r="H71" s="101" t="str">
        <f t="shared" si="3"/>
        <v/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5.0" customHeight="1">
      <c r="A72" s="100"/>
      <c r="B72" s="8"/>
      <c r="C72" s="100"/>
      <c r="D72" s="10"/>
      <c r="E72" s="10"/>
      <c r="F72" s="10"/>
      <c r="G72" s="8"/>
      <c r="H72" s="101" t="str">
        <f t="shared" si="3"/>
        <v/>
      </c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5.0" customHeight="1">
      <c r="A73" s="100"/>
      <c r="B73" s="8"/>
      <c r="C73" s="100"/>
      <c r="D73" s="10"/>
      <c r="E73" s="10"/>
      <c r="F73" s="10"/>
      <c r="G73" s="8"/>
      <c r="H73" s="101" t="str">
        <f t="shared" si="3"/>
        <v/>
      </c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5.0" customHeight="1">
      <c r="A74" s="100"/>
      <c r="B74" s="8"/>
      <c r="C74" s="100"/>
      <c r="D74" s="10"/>
      <c r="E74" s="10"/>
      <c r="F74" s="10"/>
      <c r="G74" s="8"/>
      <c r="H74" s="101" t="str">
        <f t="shared" si="3"/>
        <v/>
      </c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5.0" customHeight="1">
      <c r="A75" s="100"/>
      <c r="B75" s="8"/>
      <c r="C75" s="100"/>
      <c r="D75" s="10"/>
      <c r="E75" s="10"/>
      <c r="F75" s="10"/>
      <c r="G75" s="8"/>
      <c r="H75" s="101" t="str">
        <f t="shared" si="3"/>
        <v/>
      </c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5.0" customHeight="1">
      <c r="A76" s="100"/>
      <c r="B76" s="8"/>
      <c r="C76" s="100"/>
      <c r="D76" s="10"/>
      <c r="E76" s="10"/>
      <c r="F76" s="10"/>
      <c r="G76" s="8"/>
      <c r="H76" s="101" t="str">
        <f t="shared" si="3"/>
        <v/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5.0" customHeight="1">
      <c r="A77" s="100"/>
      <c r="B77" s="8"/>
      <c r="C77" s="100"/>
      <c r="D77" s="10"/>
      <c r="E77" s="10"/>
      <c r="F77" s="10"/>
      <c r="G77" s="8"/>
      <c r="H77" s="101" t="str">
        <f t="shared" si="3"/>
        <v/>
      </c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0" customHeight="1">
      <c r="A78" s="100"/>
      <c r="B78" s="8"/>
      <c r="C78" s="100"/>
      <c r="D78" s="10"/>
      <c r="E78" s="10"/>
      <c r="F78" s="10"/>
      <c r="G78" s="8"/>
      <c r="H78" s="101" t="str">
        <f t="shared" si="3"/>
        <v/>
      </c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5.0" customHeight="1">
      <c r="A79" s="102" t="s">
        <v>49</v>
      </c>
      <c r="B79" s="10"/>
      <c r="C79" s="10"/>
      <c r="D79" s="10"/>
      <c r="E79" s="10"/>
      <c r="F79" s="10"/>
      <c r="G79" s="8"/>
      <c r="H79" s="101">
        <f>SUM(H57:H78)</f>
        <v>0</v>
      </c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4.25" customHeight="1">
      <c r="A80" s="88" t="s">
        <v>83</v>
      </c>
      <c r="B80" s="10"/>
      <c r="C80" s="10"/>
      <c r="D80" s="10"/>
      <c r="E80" s="10"/>
      <c r="F80" s="10"/>
      <c r="G80" s="10"/>
      <c r="H80" s="8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4.25" customHeight="1">
      <c r="A81" s="101" t="s">
        <v>70</v>
      </c>
      <c r="B81" s="100" t="s">
        <v>71</v>
      </c>
      <c r="C81" s="10"/>
      <c r="D81" s="8"/>
      <c r="E81" s="100" t="s">
        <v>72</v>
      </c>
      <c r="F81" s="10"/>
      <c r="G81" s="8"/>
      <c r="H81" s="101" t="s">
        <v>48</v>
      </c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4.25" customHeight="1">
      <c r="A82" s="101"/>
      <c r="B82" s="100" t="s">
        <v>84</v>
      </c>
      <c r="C82" s="10"/>
      <c r="D82" s="8"/>
      <c r="E82" s="100"/>
      <c r="F82" s="10"/>
      <c r="G82" s="8"/>
      <c r="H82" s="101">
        <f t="shared" ref="H82:H90" si="4">IF(ISBLANK(B82), 0, 2)</f>
        <v>2</v>
      </c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4.25" customHeight="1">
      <c r="A83" s="101"/>
      <c r="B83" s="100" t="s">
        <v>85</v>
      </c>
      <c r="C83" s="10"/>
      <c r="D83" s="8"/>
      <c r="E83" s="100"/>
      <c r="F83" s="10"/>
      <c r="G83" s="8"/>
      <c r="H83" s="101">
        <f t="shared" si="4"/>
        <v>2</v>
      </c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4.25" customHeight="1">
      <c r="A84" s="101"/>
      <c r="B84" s="100" t="s">
        <v>84</v>
      </c>
      <c r="C84" s="10"/>
      <c r="D84" s="8"/>
      <c r="E84" s="100"/>
      <c r="F84" s="10"/>
      <c r="G84" s="8"/>
      <c r="H84" s="101">
        <f t="shared" si="4"/>
        <v>2</v>
      </c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4.25" customHeight="1">
      <c r="A85" s="101"/>
      <c r="B85" s="100" t="s">
        <v>86</v>
      </c>
      <c r="C85" s="10"/>
      <c r="D85" s="8"/>
      <c r="E85" s="100"/>
      <c r="F85" s="10"/>
      <c r="G85" s="8"/>
      <c r="H85" s="101">
        <f t="shared" si="4"/>
        <v>2</v>
      </c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4.25" customHeight="1">
      <c r="A86" s="101"/>
      <c r="B86" s="100" t="s">
        <v>87</v>
      </c>
      <c r="C86" s="10"/>
      <c r="D86" s="8"/>
      <c r="E86" s="100"/>
      <c r="F86" s="10"/>
      <c r="G86" s="8"/>
      <c r="H86" s="101">
        <f t="shared" si="4"/>
        <v>2</v>
      </c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4.25" customHeight="1">
      <c r="A87" s="101"/>
      <c r="B87" s="100" t="s">
        <v>88</v>
      </c>
      <c r="C87" s="10"/>
      <c r="D87" s="8"/>
      <c r="E87" s="100"/>
      <c r="F87" s="10"/>
      <c r="G87" s="8"/>
      <c r="H87" s="101">
        <f t="shared" si="4"/>
        <v>2</v>
      </c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4.25" customHeight="1">
      <c r="A88" s="103"/>
      <c r="B88" s="100" t="s">
        <v>85</v>
      </c>
      <c r="C88" s="10"/>
      <c r="D88" s="8"/>
      <c r="E88" s="100"/>
      <c r="F88" s="10"/>
      <c r="G88" s="8"/>
      <c r="H88" s="101">
        <f t="shared" si="4"/>
        <v>2</v>
      </c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4.25" customHeight="1">
      <c r="A89" s="103"/>
      <c r="B89" s="100" t="s">
        <v>85</v>
      </c>
      <c r="C89" s="10"/>
      <c r="D89" s="8"/>
      <c r="E89" s="100"/>
      <c r="F89" s="10"/>
      <c r="G89" s="8"/>
      <c r="H89" s="101">
        <f t="shared" si="4"/>
        <v>2</v>
      </c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5.0" customHeight="1">
      <c r="A90" s="101"/>
      <c r="B90" s="100" t="s">
        <v>85</v>
      </c>
      <c r="C90" s="10"/>
      <c r="D90" s="8"/>
      <c r="E90" s="100"/>
      <c r="F90" s="10"/>
      <c r="G90" s="8"/>
      <c r="H90" s="101">
        <f t="shared" si="4"/>
        <v>2</v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5.0" customHeight="1">
      <c r="A91" s="102" t="s">
        <v>49</v>
      </c>
      <c r="B91" s="10"/>
      <c r="C91" s="10"/>
      <c r="D91" s="10"/>
      <c r="E91" s="10"/>
      <c r="F91" s="10"/>
      <c r="G91" s="8"/>
      <c r="H91" s="101">
        <f>SUM(H82:H90)</f>
        <v>18</v>
      </c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5.75" customHeight="1">
      <c r="A92" s="79"/>
      <c r="B92" s="79"/>
      <c r="C92" s="79"/>
      <c r="D92" s="79"/>
      <c r="E92" s="79"/>
      <c r="F92" s="79"/>
      <c r="G92" s="79"/>
      <c r="H92" s="80"/>
    </row>
    <row r="93" ht="15.75" customHeight="1">
      <c r="A93" s="76" t="s">
        <v>89</v>
      </c>
      <c r="B93" s="5"/>
      <c r="C93" s="5"/>
      <c r="D93" s="5"/>
      <c r="E93" s="5"/>
      <c r="F93" s="5"/>
      <c r="G93" s="5"/>
      <c r="H93" s="6"/>
    </row>
    <row r="94" ht="15.0" customHeight="1">
      <c r="A94" s="19" t="s">
        <v>76</v>
      </c>
      <c r="B94" s="10"/>
      <c r="C94" s="10"/>
      <c r="D94" s="10"/>
      <c r="E94" s="10"/>
      <c r="F94" s="8"/>
      <c r="G94" s="83" t="s">
        <v>49</v>
      </c>
      <c r="H94" s="104">
        <f>H54</f>
        <v>0</v>
      </c>
    </row>
    <row r="95" ht="15.75" customHeight="1">
      <c r="A95" s="19" t="s">
        <v>77</v>
      </c>
      <c r="B95" s="10"/>
      <c r="C95" s="10"/>
      <c r="D95" s="10"/>
      <c r="E95" s="10"/>
      <c r="F95" s="8"/>
      <c r="G95" s="83" t="s">
        <v>49</v>
      </c>
      <c r="H95" s="104">
        <f>H79</f>
        <v>0</v>
      </c>
    </row>
    <row r="96" ht="15.75" customHeight="1">
      <c r="A96" s="19" t="s">
        <v>78</v>
      </c>
      <c r="B96" s="10"/>
      <c r="C96" s="10"/>
      <c r="D96" s="10"/>
      <c r="E96" s="10"/>
      <c r="F96" s="8"/>
      <c r="G96" s="83" t="s">
        <v>49</v>
      </c>
      <c r="H96" s="104">
        <f>H91</f>
        <v>18</v>
      </c>
    </row>
    <row r="97" ht="15.75" customHeight="1">
      <c r="A97" s="61" t="s">
        <v>13</v>
      </c>
      <c r="B97" s="15"/>
      <c r="C97" s="15"/>
      <c r="D97" s="15"/>
      <c r="E97" s="15"/>
      <c r="F97" s="15"/>
      <c r="G97" s="13"/>
      <c r="H97" s="105">
        <f>MIN(SUM(H94:H96),12)</f>
        <v>12</v>
      </c>
    </row>
    <row r="98" ht="15.75" customHeight="1">
      <c r="A98" s="79"/>
      <c r="B98" s="79"/>
      <c r="C98" s="79"/>
      <c r="D98" s="79"/>
      <c r="E98" s="79"/>
      <c r="F98" s="79"/>
      <c r="G98" s="79"/>
      <c r="H98" s="80"/>
    </row>
    <row r="99" ht="15.75" customHeight="1">
      <c r="A99" s="79"/>
      <c r="B99" s="79"/>
      <c r="C99" s="79"/>
      <c r="D99" s="79"/>
      <c r="E99" s="79"/>
      <c r="F99" s="79"/>
      <c r="G99" s="79"/>
      <c r="H99" s="80"/>
    </row>
    <row r="100" ht="15.75" customHeight="1">
      <c r="A100" s="79"/>
      <c r="B100" s="79"/>
      <c r="C100" s="79"/>
      <c r="D100" s="79"/>
      <c r="E100" s="79"/>
      <c r="F100" s="79"/>
      <c r="G100" s="79"/>
      <c r="H100" s="80"/>
    </row>
    <row r="101" ht="15.75" customHeight="1">
      <c r="A101" s="79"/>
      <c r="B101" s="79"/>
      <c r="C101" s="79"/>
      <c r="D101" s="79"/>
      <c r="E101" s="79"/>
      <c r="F101" s="79"/>
      <c r="G101" s="79"/>
      <c r="H101" s="80"/>
    </row>
    <row r="102" ht="15.75" customHeight="1">
      <c r="A102" s="79"/>
      <c r="B102" s="79"/>
      <c r="C102" s="79"/>
      <c r="D102" s="79"/>
      <c r="E102" s="79"/>
      <c r="F102" s="79"/>
      <c r="G102" s="79"/>
      <c r="H102" s="80"/>
    </row>
    <row r="103" ht="15.75" customHeight="1">
      <c r="A103" s="79"/>
      <c r="B103" s="79"/>
      <c r="C103" s="79"/>
      <c r="D103" s="79"/>
      <c r="E103" s="79"/>
      <c r="F103" s="79"/>
      <c r="G103" s="79"/>
      <c r="H103" s="80"/>
    </row>
    <row r="104" ht="15.75" customHeight="1">
      <c r="A104" s="79"/>
      <c r="B104" s="79"/>
      <c r="C104" s="79"/>
      <c r="D104" s="79"/>
      <c r="E104" s="79"/>
      <c r="F104" s="79"/>
      <c r="G104" s="79"/>
      <c r="H104" s="80"/>
    </row>
    <row r="105" ht="15.75" customHeight="1">
      <c r="A105" s="79"/>
      <c r="B105" s="79"/>
      <c r="C105" s="79"/>
      <c r="D105" s="79"/>
      <c r="E105" s="79"/>
      <c r="F105" s="79"/>
      <c r="G105" s="79"/>
      <c r="H105" s="80"/>
    </row>
    <row r="106" ht="15.75" customHeight="1">
      <c r="A106" s="79"/>
      <c r="B106" s="79"/>
      <c r="C106" s="79"/>
      <c r="D106" s="79"/>
      <c r="E106" s="79"/>
      <c r="F106" s="79"/>
      <c r="G106" s="79"/>
      <c r="H106" s="80"/>
    </row>
    <row r="107" ht="15.75" customHeight="1">
      <c r="A107" s="79"/>
      <c r="B107" s="79"/>
      <c r="C107" s="79"/>
      <c r="D107" s="79"/>
      <c r="E107" s="79"/>
      <c r="F107" s="79"/>
      <c r="G107" s="79"/>
      <c r="H107" s="80"/>
    </row>
    <row r="108" ht="15.75" customHeight="1">
      <c r="A108" s="79"/>
      <c r="B108" s="79"/>
      <c r="C108" s="79"/>
      <c r="D108" s="79"/>
      <c r="E108" s="79"/>
      <c r="F108" s="79"/>
      <c r="G108" s="79"/>
      <c r="H108" s="80"/>
    </row>
    <row r="109" ht="15.75" customHeight="1">
      <c r="A109" s="79"/>
      <c r="B109" s="79"/>
      <c r="C109" s="79"/>
      <c r="D109" s="79"/>
      <c r="E109" s="79"/>
      <c r="F109" s="79"/>
      <c r="G109" s="79"/>
      <c r="H109" s="80"/>
    </row>
    <row r="110" ht="15.75" customHeight="1">
      <c r="A110" s="79"/>
      <c r="B110" s="79"/>
      <c r="C110" s="79"/>
      <c r="D110" s="79"/>
      <c r="E110" s="79"/>
      <c r="F110" s="79"/>
      <c r="G110" s="79"/>
      <c r="H110" s="80"/>
    </row>
    <row r="111" ht="15.75" customHeight="1">
      <c r="A111" s="79"/>
      <c r="B111" s="79"/>
      <c r="C111" s="79"/>
      <c r="D111" s="79"/>
      <c r="E111" s="79"/>
      <c r="F111" s="79"/>
      <c r="G111" s="79"/>
      <c r="H111" s="80"/>
    </row>
    <row r="112" ht="15.75" customHeight="1">
      <c r="A112" s="79"/>
      <c r="B112" s="79"/>
      <c r="C112" s="79"/>
      <c r="D112" s="79"/>
      <c r="E112" s="79"/>
      <c r="F112" s="79"/>
      <c r="G112" s="79"/>
      <c r="H112" s="80"/>
    </row>
    <row r="113" ht="15.75" customHeight="1">
      <c r="A113" s="79"/>
      <c r="B113" s="79"/>
      <c r="C113" s="79"/>
      <c r="D113" s="79"/>
      <c r="E113" s="79"/>
      <c r="F113" s="79"/>
      <c r="G113" s="79"/>
      <c r="H113" s="80"/>
    </row>
    <row r="114" ht="15.75" customHeight="1">
      <c r="A114" s="79"/>
      <c r="B114" s="79"/>
      <c r="C114" s="79"/>
      <c r="D114" s="79"/>
      <c r="E114" s="79"/>
      <c r="F114" s="79"/>
      <c r="G114" s="79"/>
      <c r="H114" s="80"/>
    </row>
    <row r="115" ht="15.75" customHeight="1"/>
    <row r="116" ht="15.75" customHeight="1">
      <c r="A116" s="25" t="s">
        <v>21</v>
      </c>
      <c r="B116" s="106"/>
      <c r="C116" s="26"/>
      <c r="D116" s="26"/>
      <c r="E116" s="26"/>
      <c r="F116" s="26"/>
      <c r="G116" s="26"/>
      <c r="H116" s="27"/>
    </row>
    <row r="117" ht="15.75" customHeight="1">
      <c r="A117" s="28"/>
      <c r="B117" s="51"/>
      <c r="H117" s="29"/>
    </row>
    <row r="118" ht="15.75" customHeight="1">
      <c r="A118" s="30" t="s">
        <v>22</v>
      </c>
      <c r="B118" s="31"/>
      <c r="C118" s="31"/>
      <c r="D118" s="31"/>
      <c r="F118" s="32" t="s">
        <v>23</v>
      </c>
      <c r="G118" s="31"/>
      <c r="H118" s="33"/>
    </row>
    <row r="119" ht="15.75" customHeight="1">
      <c r="A119" s="85" t="s">
        <v>24</v>
      </c>
      <c r="F119" s="1" t="s">
        <v>25</v>
      </c>
      <c r="H119" s="36"/>
    </row>
    <row r="120" ht="15.75" customHeight="1">
      <c r="A120" s="37" t="s">
        <v>26</v>
      </c>
      <c r="F120" s="38" t="s">
        <v>26</v>
      </c>
      <c r="H120" s="36"/>
    </row>
    <row r="121" ht="15.75" customHeight="1">
      <c r="A121" s="28"/>
      <c r="B121" s="51"/>
      <c r="H121" s="29"/>
    </row>
    <row r="122" ht="15.75" customHeight="1">
      <c r="A122" s="28"/>
      <c r="B122" s="51"/>
      <c r="D122" s="32" t="s">
        <v>55</v>
      </c>
      <c r="E122" s="31"/>
      <c r="F122" s="31"/>
      <c r="H122" s="29"/>
    </row>
    <row r="123" ht="15.75" customHeight="1">
      <c r="A123" s="28"/>
      <c r="B123" s="51"/>
      <c r="D123" s="1" t="s">
        <v>24</v>
      </c>
      <c r="H123" s="29"/>
    </row>
    <row r="124" ht="15.75" customHeight="1">
      <c r="A124" s="39"/>
      <c r="B124" s="40"/>
      <c r="C124" s="40"/>
      <c r="D124" s="41" t="s">
        <v>26</v>
      </c>
      <c r="E124" s="42"/>
      <c r="F124" s="42"/>
      <c r="G124" s="40"/>
      <c r="H124" s="43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A1:H1"/>
    <mergeCell ref="K1:L1"/>
    <mergeCell ref="A2:H2"/>
    <mergeCell ref="A4:H4"/>
    <mergeCell ref="A6:C6"/>
    <mergeCell ref="D6:H6"/>
    <mergeCell ref="D7:H7"/>
    <mergeCell ref="A7:C7"/>
    <mergeCell ref="A8:C8"/>
    <mergeCell ref="D8:H8"/>
    <mergeCell ref="A10:F10"/>
    <mergeCell ref="A11:H11"/>
    <mergeCell ref="A12:H12"/>
    <mergeCell ref="F13:G13"/>
    <mergeCell ref="C13:E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F20:G20"/>
    <mergeCell ref="C20:E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F27:G27"/>
    <mergeCell ref="C27:E27"/>
    <mergeCell ref="C28:E28"/>
    <mergeCell ref="F28:G28"/>
    <mergeCell ref="C29:E29"/>
    <mergeCell ref="F29:G29"/>
    <mergeCell ref="C30:E30"/>
    <mergeCell ref="F30:G30"/>
    <mergeCell ref="C57:G57"/>
    <mergeCell ref="C58:G58"/>
    <mergeCell ref="C52:E52"/>
    <mergeCell ref="F52:G52"/>
    <mergeCell ref="C53:E53"/>
    <mergeCell ref="F53:G53"/>
    <mergeCell ref="A54:G54"/>
    <mergeCell ref="A55:H55"/>
    <mergeCell ref="C56:G56"/>
    <mergeCell ref="A56:B56"/>
    <mergeCell ref="A57:B57"/>
    <mergeCell ref="A58:B58"/>
    <mergeCell ref="A59:B59"/>
    <mergeCell ref="C59:G59"/>
    <mergeCell ref="A60:B60"/>
    <mergeCell ref="C60:G60"/>
    <mergeCell ref="A61:B61"/>
    <mergeCell ref="C61:G61"/>
    <mergeCell ref="A62:B62"/>
    <mergeCell ref="C62:G62"/>
    <mergeCell ref="A63:B63"/>
    <mergeCell ref="C63:G63"/>
    <mergeCell ref="C64:G64"/>
    <mergeCell ref="A64:B64"/>
    <mergeCell ref="A65:B65"/>
    <mergeCell ref="C65:G65"/>
    <mergeCell ref="A66:B66"/>
    <mergeCell ref="C66:G66"/>
    <mergeCell ref="A67:B67"/>
    <mergeCell ref="C67:G67"/>
    <mergeCell ref="A68:B68"/>
    <mergeCell ref="C68:G68"/>
    <mergeCell ref="A69:B69"/>
    <mergeCell ref="C69:G69"/>
    <mergeCell ref="A70:B70"/>
    <mergeCell ref="C70:G70"/>
    <mergeCell ref="C71:G71"/>
    <mergeCell ref="A75:B75"/>
    <mergeCell ref="C75:G75"/>
    <mergeCell ref="A76:B76"/>
    <mergeCell ref="C76:G76"/>
    <mergeCell ref="A77:B77"/>
    <mergeCell ref="C77:G77"/>
    <mergeCell ref="A78:B78"/>
    <mergeCell ref="C78:G78"/>
    <mergeCell ref="A79:G79"/>
    <mergeCell ref="A80:H80"/>
    <mergeCell ref="B81:D81"/>
    <mergeCell ref="E81:G81"/>
    <mergeCell ref="B82:D82"/>
    <mergeCell ref="E82:G82"/>
    <mergeCell ref="B83:D83"/>
    <mergeCell ref="E83:G83"/>
    <mergeCell ref="B84:D84"/>
    <mergeCell ref="E84:G84"/>
    <mergeCell ref="B85:D85"/>
    <mergeCell ref="E85:G85"/>
    <mergeCell ref="E86:G86"/>
    <mergeCell ref="A95:F95"/>
    <mergeCell ref="A96:F96"/>
    <mergeCell ref="A97:G97"/>
    <mergeCell ref="E87:G87"/>
    <mergeCell ref="E88:G88"/>
    <mergeCell ref="E89:G89"/>
    <mergeCell ref="E90:G90"/>
    <mergeCell ref="A91:G91"/>
    <mergeCell ref="A93:H93"/>
    <mergeCell ref="A94:F94"/>
    <mergeCell ref="F118:H118"/>
    <mergeCell ref="F119:H119"/>
    <mergeCell ref="F120:H120"/>
    <mergeCell ref="D122:F122"/>
    <mergeCell ref="D123:F123"/>
    <mergeCell ref="D124:F124"/>
    <mergeCell ref="B86:D86"/>
    <mergeCell ref="B87:D87"/>
    <mergeCell ref="B88:D88"/>
    <mergeCell ref="B89:D89"/>
    <mergeCell ref="B90:D90"/>
    <mergeCell ref="A118:D118"/>
    <mergeCell ref="A119:D119"/>
    <mergeCell ref="A120:D120"/>
    <mergeCell ref="C31:E31"/>
    <mergeCell ref="F31:G31"/>
    <mergeCell ref="C32:E32"/>
    <mergeCell ref="F32:G32"/>
    <mergeCell ref="C33:E33"/>
    <mergeCell ref="F33:G33"/>
    <mergeCell ref="F34:G34"/>
    <mergeCell ref="C34:E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F48:G48"/>
    <mergeCell ref="C48:E48"/>
    <mergeCell ref="C49:E49"/>
    <mergeCell ref="F49:G49"/>
    <mergeCell ref="C50:E50"/>
    <mergeCell ref="F50:G50"/>
    <mergeCell ref="C51:E51"/>
    <mergeCell ref="F51:G51"/>
    <mergeCell ref="A71:B71"/>
    <mergeCell ref="A72:B72"/>
    <mergeCell ref="C72:G72"/>
    <mergeCell ref="A73:B73"/>
    <mergeCell ref="C73:G73"/>
    <mergeCell ref="A74:B74"/>
    <mergeCell ref="C74:G74"/>
  </mergeCells>
  <dataValidations>
    <dataValidation type="list" allowBlank="1" showErrorMessage="1" sqref="A57:A78">
      <formula1>$I$57:$I$69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9.33"/>
    <col customWidth="1" min="4" max="4" width="10.89"/>
    <col customWidth="1" min="5" max="5" width="7.78"/>
    <col customWidth="1" min="6" max="6" width="8.89"/>
    <col customWidth="1" min="7" max="7" width="13.67"/>
    <col customWidth="1" min="8" max="8" width="12.78"/>
    <col customWidth="1" hidden="1" min="9" max="11" width="10.78"/>
    <col customWidth="1" min="12" max="26" width="10.89"/>
  </cols>
  <sheetData>
    <row r="1">
      <c r="A1" s="1" t="s">
        <v>28</v>
      </c>
      <c r="I1" s="44" t="s">
        <v>29</v>
      </c>
      <c r="J1" s="44" t="s">
        <v>30</v>
      </c>
      <c r="K1" s="45"/>
    </row>
    <row r="2">
      <c r="A2" s="1" t="s">
        <v>1</v>
      </c>
      <c r="I2" s="46">
        <v>1.0</v>
      </c>
      <c r="J2" s="46">
        <v>30.0</v>
      </c>
    </row>
    <row r="3">
      <c r="I3" s="47">
        <v>1.07</v>
      </c>
      <c r="J3" s="47">
        <v>29.0</v>
      </c>
      <c r="K3" s="44" t="s">
        <v>31</v>
      </c>
    </row>
    <row r="4">
      <c r="A4" s="1" t="s">
        <v>56</v>
      </c>
      <c r="I4" s="47">
        <v>1.14</v>
      </c>
      <c r="J4" s="47">
        <v>28.0</v>
      </c>
      <c r="K4" s="44" t="s">
        <v>33</v>
      </c>
    </row>
    <row r="5">
      <c r="I5" s="47">
        <v>1.21</v>
      </c>
      <c r="J5" s="47">
        <v>27.0</v>
      </c>
      <c r="K5" s="44" t="s">
        <v>34</v>
      </c>
    </row>
    <row r="6">
      <c r="A6" s="48" t="s">
        <v>3</v>
      </c>
      <c r="B6" s="5"/>
      <c r="C6" s="3"/>
      <c r="D6" s="49" t="str">
        <f>SUMMARY!C6</f>
        <v/>
      </c>
      <c r="E6" s="5"/>
      <c r="F6" s="5"/>
      <c r="G6" s="5"/>
      <c r="H6" s="6"/>
      <c r="I6" s="47">
        <v>1.28</v>
      </c>
      <c r="J6" s="47">
        <v>26.0</v>
      </c>
      <c r="K6" s="44" t="s">
        <v>35</v>
      </c>
    </row>
    <row r="7">
      <c r="A7" s="19" t="s">
        <v>4</v>
      </c>
      <c r="B7" s="10"/>
      <c r="C7" s="8"/>
      <c r="D7" s="50" t="str">
        <f>SUMMARY!C7</f>
        <v/>
      </c>
      <c r="E7" s="10"/>
      <c r="F7" s="10"/>
      <c r="G7" s="10"/>
      <c r="H7" s="11"/>
      <c r="I7" s="47">
        <v>1.35</v>
      </c>
      <c r="J7" s="47">
        <v>25.0</v>
      </c>
      <c r="K7" s="51" t="s">
        <v>36</v>
      </c>
      <c r="L7" s="51"/>
    </row>
    <row r="8">
      <c r="A8" s="52" t="s">
        <v>5</v>
      </c>
      <c r="B8" s="15"/>
      <c r="C8" s="13"/>
      <c r="D8" s="53" t="str">
        <f>SUMMARY!C8</f>
        <v/>
      </c>
      <c r="E8" s="15"/>
      <c r="F8" s="15"/>
      <c r="G8" s="15"/>
      <c r="H8" s="16"/>
      <c r="I8" s="47">
        <v>1.41</v>
      </c>
      <c r="J8" s="47">
        <v>24.0</v>
      </c>
      <c r="K8" s="44" t="s">
        <v>37</v>
      </c>
    </row>
    <row r="9">
      <c r="I9" s="47">
        <v>1.48</v>
      </c>
      <c r="J9" s="47">
        <v>23.0</v>
      </c>
      <c r="K9" s="44" t="s">
        <v>38</v>
      </c>
    </row>
    <row r="10">
      <c r="A10" s="86" t="s">
        <v>14</v>
      </c>
      <c r="B10" s="10"/>
      <c r="C10" s="10"/>
      <c r="D10" s="10"/>
      <c r="E10" s="10"/>
      <c r="F10" s="8"/>
      <c r="G10" s="87"/>
      <c r="H10" s="87"/>
      <c r="I10" s="64">
        <v>1.55</v>
      </c>
      <c r="J10" s="47">
        <v>22.0</v>
      </c>
      <c r="K10" s="44" t="s">
        <v>40</v>
      </c>
    </row>
    <row r="11">
      <c r="A11" s="88" t="s">
        <v>90</v>
      </c>
      <c r="B11" s="10"/>
      <c r="C11" s="10"/>
      <c r="D11" s="10"/>
      <c r="E11" s="10"/>
      <c r="F11" s="10"/>
      <c r="G11" s="10"/>
      <c r="H11" s="8"/>
      <c r="I11" s="64"/>
      <c r="J11" s="47"/>
    </row>
    <row r="12">
      <c r="A12" s="88" t="s">
        <v>91</v>
      </c>
      <c r="B12" s="10"/>
      <c r="C12" s="10"/>
      <c r="D12" s="10"/>
      <c r="E12" s="10"/>
      <c r="F12" s="10"/>
      <c r="G12" s="10"/>
      <c r="H12" s="8"/>
      <c r="I12" s="64"/>
      <c r="J12" s="47"/>
    </row>
    <row r="13">
      <c r="A13" s="89" t="s">
        <v>92</v>
      </c>
      <c r="B13" s="89" t="s">
        <v>93</v>
      </c>
      <c r="C13" s="90" t="s">
        <v>61</v>
      </c>
      <c r="D13" s="10"/>
      <c r="E13" s="8"/>
      <c r="F13" s="91" t="s">
        <v>62</v>
      </c>
      <c r="G13" s="8"/>
      <c r="H13" s="92" t="s">
        <v>48</v>
      </c>
      <c r="I13" s="64"/>
      <c r="J13" s="47"/>
    </row>
    <row r="14">
      <c r="A14" s="93"/>
      <c r="B14" s="93"/>
      <c r="C14" s="91"/>
      <c r="D14" s="10"/>
      <c r="E14" s="8"/>
      <c r="F14" s="91"/>
      <c r="G14" s="8"/>
      <c r="H14" s="92">
        <f t="shared" ref="H14:H73" si="1">MIN(K14* 0.2, 1)</f>
        <v>0</v>
      </c>
      <c r="I14" s="64"/>
      <c r="J14" s="47"/>
      <c r="K14" s="94">
        <f t="shared" ref="K14:K73" si="2">B14-A14</f>
        <v>0</v>
      </c>
      <c r="L14" s="44">
        <f>0.2*5</f>
        <v>1</v>
      </c>
    </row>
    <row r="15">
      <c r="A15" s="93"/>
      <c r="B15" s="93"/>
      <c r="C15" s="91"/>
      <c r="D15" s="10"/>
      <c r="E15" s="8"/>
      <c r="F15" s="91"/>
      <c r="G15" s="8"/>
      <c r="H15" s="92">
        <f t="shared" si="1"/>
        <v>0</v>
      </c>
      <c r="I15" s="64"/>
      <c r="J15" s="47"/>
      <c r="K15" s="94">
        <f t="shared" si="2"/>
        <v>0</v>
      </c>
    </row>
    <row r="16">
      <c r="A16" s="93"/>
      <c r="B16" s="93"/>
      <c r="C16" s="91"/>
      <c r="D16" s="10"/>
      <c r="E16" s="8"/>
      <c r="F16" s="91"/>
      <c r="G16" s="8"/>
      <c r="H16" s="92">
        <f t="shared" si="1"/>
        <v>0</v>
      </c>
      <c r="I16" s="64"/>
      <c r="J16" s="47"/>
      <c r="K16" s="94">
        <f t="shared" si="2"/>
        <v>0</v>
      </c>
    </row>
    <row r="17">
      <c r="A17" s="93"/>
      <c r="B17" s="93"/>
      <c r="C17" s="91"/>
      <c r="D17" s="10"/>
      <c r="E17" s="8"/>
      <c r="F17" s="91"/>
      <c r="G17" s="8"/>
      <c r="H17" s="92">
        <f t="shared" si="1"/>
        <v>0</v>
      </c>
      <c r="I17" s="64"/>
      <c r="J17" s="47"/>
      <c r="K17" s="94">
        <f t="shared" si="2"/>
        <v>0</v>
      </c>
    </row>
    <row r="18">
      <c r="A18" s="93"/>
      <c r="B18" s="93"/>
      <c r="C18" s="91"/>
      <c r="D18" s="10"/>
      <c r="E18" s="8"/>
      <c r="F18" s="91"/>
      <c r="G18" s="8"/>
      <c r="H18" s="92">
        <f t="shared" si="1"/>
        <v>0</v>
      </c>
      <c r="I18" s="64"/>
      <c r="J18" s="47"/>
      <c r="K18" s="94">
        <f t="shared" si="2"/>
        <v>0</v>
      </c>
    </row>
    <row r="19">
      <c r="A19" s="93"/>
      <c r="B19" s="93"/>
      <c r="C19" s="91"/>
      <c r="D19" s="10"/>
      <c r="E19" s="8"/>
      <c r="F19" s="91"/>
      <c r="G19" s="8"/>
      <c r="H19" s="92">
        <f t="shared" si="1"/>
        <v>0</v>
      </c>
      <c r="I19" s="64"/>
      <c r="J19" s="47"/>
      <c r="K19" s="94">
        <f t="shared" si="2"/>
        <v>0</v>
      </c>
    </row>
    <row r="20">
      <c r="A20" s="93"/>
      <c r="B20" s="93"/>
      <c r="C20" s="91"/>
      <c r="D20" s="10"/>
      <c r="E20" s="8"/>
      <c r="F20" s="91"/>
      <c r="G20" s="8"/>
      <c r="H20" s="92">
        <f t="shared" si="1"/>
        <v>0</v>
      </c>
      <c r="I20" s="64"/>
      <c r="J20" s="47"/>
      <c r="K20" s="94">
        <f t="shared" si="2"/>
        <v>0</v>
      </c>
    </row>
    <row r="21" ht="15.75" customHeight="1">
      <c r="A21" s="93"/>
      <c r="B21" s="93"/>
      <c r="C21" s="91"/>
      <c r="D21" s="10"/>
      <c r="E21" s="8"/>
      <c r="F21" s="91"/>
      <c r="G21" s="8"/>
      <c r="H21" s="92">
        <f t="shared" si="1"/>
        <v>0</v>
      </c>
      <c r="I21" s="64"/>
      <c r="J21" s="47"/>
      <c r="K21" s="94">
        <f t="shared" si="2"/>
        <v>0</v>
      </c>
    </row>
    <row r="22" ht="15.75" customHeight="1">
      <c r="A22" s="93"/>
      <c r="B22" s="93"/>
      <c r="C22" s="91"/>
      <c r="D22" s="10"/>
      <c r="E22" s="8"/>
      <c r="F22" s="91"/>
      <c r="G22" s="8"/>
      <c r="H22" s="92">
        <f t="shared" si="1"/>
        <v>0</v>
      </c>
      <c r="I22" s="64"/>
      <c r="J22" s="47"/>
      <c r="K22" s="94">
        <f t="shared" si="2"/>
        <v>0</v>
      </c>
    </row>
    <row r="23" ht="15.75" customHeight="1">
      <c r="A23" s="93"/>
      <c r="B23" s="93"/>
      <c r="C23" s="91"/>
      <c r="D23" s="10"/>
      <c r="E23" s="8"/>
      <c r="F23" s="91"/>
      <c r="G23" s="8"/>
      <c r="H23" s="92">
        <f t="shared" si="1"/>
        <v>0</v>
      </c>
      <c r="I23" s="64"/>
      <c r="J23" s="47"/>
      <c r="K23" s="94">
        <f t="shared" si="2"/>
        <v>0</v>
      </c>
    </row>
    <row r="24" ht="15.75" customHeight="1">
      <c r="A24" s="93"/>
      <c r="B24" s="93"/>
      <c r="C24" s="91"/>
      <c r="D24" s="10"/>
      <c r="E24" s="8"/>
      <c r="F24" s="91"/>
      <c r="G24" s="8"/>
      <c r="H24" s="92">
        <f t="shared" si="1"/>
        <v>0</v>
      </c>
      <c r="I24" s="64"/>
      <c r="J24" s="47"/>
      <c r="K24" s="94">
        <f t="shared" si="2"/>
        <v>0</v>
      </c>
    </row>
    <row r="25" ht="15.75" customHeight="1">
      <c r="A25" s="93"/>
      <c r="B25" s="93"/>
      <c r="C25" s="91"/>
      <c r="D25" s="10"/>
      <c r="E25" s="8"/>
      <c r="F25" s="91"/>
      <c r="G25" s="8"/>
      <c r="H25" s="92">
        <f t="shared" si="1"/>
        <v>0</v>
      </c>
      <c r="I25" s="64"/>
      <c r="J25" s="47"/>
      <c r="K25" s="94">
        <f t="shared" si="2"/>
        <v>0</v>
      </c>
    </row>
    <row r="26" ht="15.75" customHeight="1">
      <c r="A26" s="93"/>
      <c r="B26" s="93"/>
      <c r="C26" s="91"/>
      <c r="D26" s="10"/>
      <c r="E26" s="8"/>
      <c r="F26" s="91"/>
      <c r="G26" s="8"/>
      <c r="H26" s="92">
        <f t="shared" si="1"/>
        <v>0</v>
      </c>
      <c r="I26" s="64"/>
      <c r="J26" s="47"/>
      <c r="K26" s="94">
        <f t="shared" si="2"/>
        <v>0</v>
      </c>
    </row>
    <row r="27" ht="15.75" customHeight="1">
      <c r="A27" s="93"/>
      <c r="B27" s="93"/>
      <c r="C27" s="91"/>
      <c r="D27" s="10"/>
      <c r="E27" s="8"/>
      <c r="F27" s="91"/>
      <c r="G27" s="8"/>
      <c r="H27" s="92">
        <f t="shared" si="1"/>
        <v>0</v>
      </c>
      <c r="I27" s="64"/>
      <c r="J27" s="47"/>
      <c r="K27" s="94">
        <f t="shared" si="2"/>
        <v>0</v>
      </c>
    </row>
    <row r="28" ht="15.75" customHeight="1">
      <c r="A28" s="93"/>
      <c r="B28" s="93"/>
      <c r="C28" s="91"/>
      <c r="D28" s="10"/>
      <c r="E28" s="8"/>
      <c r="F28" s="91"/>
      <c r="G28" s="8"/>
      <c r="H28" s="92">
        <f t="shared" si="1"/>
        <v>0</v>
      </c>
      <c r="I28" s="64"/>
      <c r="J28" s="47"/>
      <c r="K28" s="94">
        <f t="shared" si="2"/>
        <v>0</v>
      </c>
    </row>
    <row r="29" ht="15.75" customHeight="1">
      <c r="A29" s="93"/>
      <c r="B29" s="93"/>
      <c r="C29" s="91"/>
      <c r="D29" s="10"/>
      <c r="E29" s="8"/>
      <c r="F29" s="91"/>
      <c r="G29" s="8"/>
      <c r="H29" s="92">
        <f t="shared" si="1"/>
        <v>0</v>
      </c>
      <c r="I29" s="64"/>
      <c r="J29" s="47"/>
      <c r="K29" s="94">
        <f t="shared" si="2"/>
        <v>0</v>
      </c>
    </row>
    <row r="30" ht="15.75" customHeight="1">
      <c r="A30" s="93"/>
      <c r="B30" s="93"/>
      <c r="C30" s="91"/>
      <c r="D30" s="10"/>
      <c r="E30" s="8"/>
      <c r="F30" s="91"/>
      <c r="G30" s="8"/>
      <c r="H30" s="92">
        <f t="shared" si="1"/>
        <v>0</v>
      </c>
      <c r="I30" s="64"/>
      <c r="J30" s="47"/>
      <c r="K30" s="94">
        <f t="shared" si="2"/>
        <v>0</v>
      </c>
    </row>
    <row r="31" ht="15.75" customHeight="1">
      <c r="A31" s="93"/>
      <c r="B31" s="93"/>
      <c r="C31" s="91"/>
      <c r="D31" s="10"/>
      <c r="E31" s="8"/>
      <c r="F31" s="91"/>
      <c r="G31" s="8"/>
      <c r="H31" s="92">
        <f t="shared" si="1"/>
        <v>0</v>
      </c>
      <c r="I31" s="64"/>
      <c r="J31" s="47"/>
      <c r="K31" s="94">
        <f t="shared" si="2"/>
        <v>0</v>
      </c>
    </row>
    <row r="32" ht="15.75" customHeight="1">
      <c r="A32" s="93"/>
      <c r="B32" s="93"/>
      <c r="C32" s="91"/>
      <c r="D32" s="10"/>
      <c r="E32" s="8"/>
      <c r="F32" s="91"/>
      <c r="G32" s="8"/>
      <c r="H32" s="92">
        <f t="shared" si="1"/>
        <v>0</v>
      </c>
      <c r="I32" s="64"/>
      <c r="J32" s="47"/>
      <c r="K32" s="94">
        <f t="shared" si="2"/>
        <v>0</v>
      </c>
    </row>
    <row r="33" ht="15.75" customHeight="1">
      <c r="A33" s="93"/>
      <c r="B33" s="93"/>
      <c r="C33" s="91"/>
      <c r="D33" s="10"/>
      <c r="E33" s="8"/>
      <c r="F33" s="91"/>
      <c r="G33" s="8"/>
      <c r="H33" s="92">
        <f t="shared" si="1"/>
        <v>0</v>
      </c>
      <c r="I33" s="64"/>
      <c r="J33" s="47"/>
      <c r="K33" s="94">
        <f t="shared" si="2"/>
        <v>0</v>
      </c>
    </row>
    <row r="34" ht="15.75" customHeight="1">
      <c r="A34" s="93"/>
      <c r="B34" s="93"/>
      <c r="C34" s="91"/>
      <c r="D34" s="10"/>
      <c r="E34" s="8"/>
      <c r="F34" s="91"/>
      <c r="G34" s="8"/>
      <c r="H34" s="92">
        <f t="shared" si="1"/>
        <v>0</v>
      </c>
      <c r="I34" s="64"/>
      <c r="J34" s="47"/>
      <c r="K34" s="94">
        <f t="shared" si="2"/>
        <v>0</v>
      </c>
    </row>
    <row r="35" ht="15.75" customHeight="1">
      <c r="A35" s="93"/>
      <c r="B35" s="93"/>
      <c r="C35" s="91"/>
      <c r="D35" s="10"/>
      <c r="E35" s="8"/>
      <c r="F35" s="91"/>
      <c r="G35" s="8"/>
      <c r="H35" s="92">
        <f t="shared" si="1"/>
        <v>0</v>
      </c>
      <c r="I35" s="64"/>
      <c r="J35" s="47"/>
      <c r="K35" s="94">
        <f t="shared" si="2"/>
        <v>0</v>
      </c>
    </row>
    <row r="36" ht="15.75" customHeight="1">
      <c r="A36" s="93"/>
      <c r="B36" s="93"/>
      <c r="C36" s="91"/>
      <c r="D36" s="10"/>
      <c r="E36" s="8"/>
      <c r="F36" s="91"/>
      <c r="G36" s="8"/>
      <c r="H36" s="92">
        <f t="shared" si="1"/>
        <v>0</v>
      </c>
      <c r="I36" s="64"/>
      <c r="J36" s="47"/>
      <c r="K36" s="94">
        <f t="shared" si="2"/>
        <v>0</v>
      </c>
    </row>
    <row r="37" ht="15.75" customHeight="1">
      <c r="A37" s="93"/>
      <c r="B37" s="93"/>
      <c r="C37" s="91"/>
      <c r="D37" s="10"/>
      <c r="E37" s="8"/>
      <c r="F37" s="91"/>
      <c r="G37" s="8"/>
      <c r="H37" s="92">
        <f t="shared" si="1"/>
        <v>0</v>
      </c>
      <c r="I37" s="64"/>
      <c r="J37" s="47"/>
      <c r="K37" s="94">
        <f t="shared" si="2"/>
        <v>0</v>
      </c>
    </row>
    <row r="38" ht="15.75" customHeight="1">
      <c r="A38" s="93"/>
      <c r="B38" s="93"/>
      <c r="C38" s="91"/>
      <c r="D38" s="10"/>
      <c r="E38" s="8"/>
      <c r="F38" s="91"/>
      <c r="G38" s="8"/>
      <c r="H38" s="92">
        <f t="shared" si="1"/>
        <v>0</v>
      </c>
      <c r="I38" s="64"/>
      <c r="J38" s="47"/>
      <c r="K38" s="94">
        <f t="shared" si="2"/>
        <v>0</v>
      </c>
    </row>
    <row r="39" ht="15.75" customHeight="1">
      <c r="A39" s="93"/>
      <c r="B39" s="93"/>
      <c r="C39" s="91"/>
      <c r="D39" s="10"/>
      <c r="E39" s="8"/>
      <c r="F39" s="91"/>
      <c r="G39" s="8"/>
      <c r="H39" s="92">
        <f t="shared" si="1"/>
        <v>0</v>
      </c>
      <c r="I39" s="64"/>
      <c r="J39" s="47"/>
      <c r="K39" s="94">
        <f t="shared" si="2"/>
        <v>0</v>
      </c>
    </row>
    <row r="40" ht="15.75" customHeight="1">
      <c r="A40" s="93"/>
      <c r="B40" s="93"/>
      <c r="C40" s="91"/>
      <c r="D40" s="10"/>
      <c r="E40" s="8"/>
      <c r="F40" s="91"/>
      <c r="G40" s="8"/>
      <c r="H40" s="92">
        <f t="shared" si="1"/>
        <v>0</v>
      </c>
      <c r="I40" s="64"/>
      <c r="J40" s="47"/>
      <c r="K40" s="94">
        <f t="shared" si="2"/>
        <v>0</v>
      </c>
    </row>
    <row r="41" ht="15.75" customHeight="1">
      <c r="A41" s="93"/>
      <c r="B41" s="93"/>
      <c r="C41" s="91"/>
      <c r="D41" s="10"/>
      <c r="E41" s="8"/>
      <c r="F41" s="91"/>
      <c r="G41" s="8"/>
      <c r="H41" s="92">
        <f t="shared" si="1"/>
        <v>0</v>
      </c>
      <c r="I41" s="64"/>
      <c r="J41" s="47"/>
      <c r="K41" s="94">
        <f t="shared" si="2"/>
        <v>0</v>
      </c>
    </row>
    <row r="42" ht="15.75" customHeight="1">
      <c r="A42" s="93"/>
      <c r="B42" s="93"/>
      <c r="C42" s="91"/>
      <c r="D42" s="10"/>
      <c r="E42" s="8"/>
      <c r="F42" s="91"/>
      <c r="G42" s="8"/>
      <c r="H42" s="92">
        <f t="shared" si="1"/>
        <v>0</v>
      </c>
      <c r="I42" s="64"/>
      <c r="J42" s="47"/>
      <c r="K42" s="94">
        <f t="shared" si="2"/>
        <v>0</v>
      </c>
    </row>
    <row r="43" ht="15.75" customHeight="1">
      <c r="A43" s="93"/>
      <c r="B43" s="93"/>
      <c r="C43" s="91"/>
      <c r="D43" s="10"/>
      <c r="E43" s="8"/>
      <c r="F43" s="91"/>
      <c r="G43" s="8"/>
      <c r="H43" s="92">
        <f t="shared" si="1"/>
        <v>0</v>
      </c>
      <c r="I43" s="64"/>
      <c r="J43" s="47"/>
      <c r="K43" s="94">
        <f t="shared" si="2"/>
        <v>0</v>
      </c>
    </row>
    <row r="44" ht="15.75" customHeight="1">
      <c r="A44" s="93"/>
      <c r="B44" s="93"/>
      <c r="C44" s="91"/>
      <c r="D44" s="10"/>
      <c r="E44" s="8"/>
      <c r="F44" s="91"/>
      <c r="G44" s="8"/>
      <c r="H44" s="92">
        <f t="shared" si="1"/>
        <v>0</v>
      </c>
      <c r="I44" s="64"/>
      <c r="J44" s="47"/>
      <c r="K44" s="94">
        <f t="shared" si="2"/>
        <v>0</v>
      </c>
    </row>
    <row r="45" ht="15.75" customHeight="1">
      <c r="A45" s="93"/>
      <c r="B45" s="93"/>
      <c r="C45" s="91"/>
      <c r="D45" s="10"/>
      <c r="E45" s="8"/>
      <c r="F45" s="91"/>
      <c r="G45" s="8"/>
      <c r="H45" s="92">
        <f t="shared" si="1"/>
        <v>0</v>
      </c>
      <c r="I45" s="64"/>
      <c r="J45" s="47"/>
      <c r="K45" s="94">
        <f t="shared" si="2"/>
        <v>0</v>
      </c>
    </row>
    <row r="46" ht="15.75" customHeight="1">
      <c r="A46" s="93"/>
      <c r="B46" s="93"/>
      <c r="C46" s="91"/>
      <c r="D46" s="10"/>
      <c r="E46" s="8"/>
      <c r="F46" s="91"/>
      <c r="G46" s="8"/>
      <c r="H46" s="92">
        <f t="shared" si="1"/>
        <v>0</v>
      </c>
      <c r="I46" s="64"/>
      <c r="J46" s="47"/>
      <c r="K46" s="94">
        <f t="shared" si="2"/>
        <v>0</v>
      </c>
    </row>
    <row r="47" ht="15.75" customHeight="1">
      <c r="A47" s="93"/>
      <c r="B47" s="93"/>
      <c r="C47" s="91"/>
      <c r="D47" s="10"/>
      <c r="E47" s="8"/>
      <c r="F47" s="91"/>
      <c r="G47" s="8"/>
      <c r="H47" s="92">
        <f t="shared" si="1"/>
        <v>0</v>
      </c>
      <c r="I47" s="64"/>
      <c r="J47" s="47"/>
      <c r="K47" s="94">
        <f t="shared" si="2"/>
        <v>0</v>
      </c>
    </row>
    <row r="48" ht="15.75" customHeight="1">
      <c r="A48" s="93"/>
      <c r="B48" s="93"/>
      <c r="C48" s="91"/>
      <c r="D48" s="10"/>
      <c r="E48" s="8"/>
      <c r="F48" s="91"/>
      <c r="G48" s="8"/>
      <c r="H48" s="92">
        <f t="shared" si="1"/>
        <v>0</v>
      </c>
      <c r="I48" s="64"/>
      <c r="J48" s="47"/>
      <c r="K48" s="94">
        <f t="shared" si="2"/>
        <v>0</v>
      </c>
    </row>
    <row r="49" ht="15.75" customHeight="1">
      <c r="A49" s="93"/>
      <c r="B49" s="93"/>
      <c r="C49" s="91"/>
      <c r="D49" s="10"/>
      <c r="E49" s="8"/>
      <c r="F49" s="91"/>
      <c r="G49" s="8"/>
      <c r="H49" s="92">
        <f t="shared" si="1"/>
        <v>0</v>
      </c>
      <c r="I49" s="64"/>
      <c r="J49" s="47"/>
      <c r="K49" s="94">
        <f t="shared" si="2"/>
        <v>0</v>
      </c>
    </row>
    <row r="50" ht="15.75" customHeight="1">
      <c r="A50" s="93"/>
      <c r="B50" s="93"/>
      <c r="C50" s="91"/>
      <c r="D50" s="10"/>
      <c r="E50" s="8"/>
      <c r="F50" s="91"/>
      <c r="G50" s="8"/>
      <c r="H50" s="92">
        <f t="shared" si="1"/>
        <v>0</v>
      </c>
      <c r="I50" s="64"/>
      <c r="J50" s="47"/>
      <c r="K50" s="94">
        <f t="shared" si="2"/>
        <v>0</v>
      </c>
    </row>
    <row r="51" ht="15.75" customHeight="1">
      <c r="A51" s="93"/>
      <c r="B51" s="93"/>
      <c r="C51" s="91"/>
      <c r="D51" s="10"/>
      <c r="E51" s="8"/>
      <c r="F51" s="91"/>
      <c r="G51" s="8"/>
      <c r="H51" s="92">
        <f t="shared" si="1"/>
        <v>0</v>
      </c>
      <c r="I51" s="64"/>
      <c r="J51" s="47"/>
      <c r="K51" s="94">
        <f t="shared" si="2"/>
        <v>0</v>
      </c>
    </row>
    <row r="52" ht="15.75" customHeight="1">
      <c r="A52" s="93"/>
      <c r="B52" s="93"/>
      <c r="C52" s="91"/>
      <c r="D52" s="10"/>
      <c r="E52" s="8"/>
      <c r="F52" s="91"/>
      <c r="G52" s="8"/>
      <c r="H52" s="92">
        <f t="shared" si="1"/>
        <v>0</v>
      </c>
      <c r="I52" s="64"/>
      <c r="J52" s="47"/>
      <c r="K52" s="94">
        <f t="shared" si="2"/>
        <v>0</v>
      </c>
    </row>
    <row r="53" ht="15.75" customHeight="1">
      <c r="A53" s="93"/>
      <c r="B53" s="93"/>
      <c r="C53" s="91"/>
      <c r="D53" s="10"/>
      <c r="E53" s="8"/>
      <c r="F53" s="91"/>
      <c r="G53" s="8"/>
      <c r="H53" s="92">
        <f t="shared" si="1"/>
        <v>0</v>
      </c>
      <c r="I53" s="64"/>
      <c r="J53" s="47"/>
      <c r="K53" s="94">
        <f t="shared" si="2"/>
        <v>0</v>
      </c>
    </row>
    <row r="54" ht="15.75" customHeight="1">
      <c r="A54" s="93"/>
      <c r="B54" s="93"/>
      <c r="C54" s="91"/>
      <c r="D54" s="10"/>
      <c r="E54" s="8"/>
      <c r="F54" s="91"/>
      <c r="G54" s="8"/>
      <c r="H54" s="92">
        <f t="shared" si="1"/>
        <v>0</v>
      </c>
      <c r="I54" s="64"/>
      <c r="J54" s="47"/>
      <c r="K54" s="94">
        <f t="shared" si="2"/>
        <v>0</v>
      </c>
    </row>
    <row r="55" ht="15.75" customHeight="1">
      <c r="A55" s="93"/>
      <c r="B55" s="93"/>
      <c r="C55" s="91"/>
      <c r="D55" s="10"/>
      <c r="E55" s="8"/>
      <c r="F55" s="91"/>
      <c r="G55" s="8"/>
      <c r="H55" s="92">
        <f t="shared" si="1"/>
        <v>0</v>
      </c>
      <c r="I55" s="64"/>
      <c r="J55" s="47"/>
      <c r="K55" s="94">
        <f t="shared" si="2"/>
        <v>0</v>
      </c>
    </row>
    <row r="56" ht="15.75" customHeight="1">
      <c r="A56" s="93"/>
      <c r="B56" s="93"/>
      <c r="C56" s="91"/>
      <c r="D56" s="10"/>
      <c r="E56" s="8"/>
      <c r="F56" s="91"/>
      <c r="G56" s="8"/>
      <c r="H56" s="92">
        <f t="shared" si="1"/>
        <v>0</v>
      </c>
      <c r="I56" s="64"/>
      <c r="J56" s="47"/>
      <c r="K56" s="94">
        <f t="shared" si="2"/>
        <v>0</v>
      </c>
    </row>
    <row r="57" ht="15.75" customHeight="1">
      <c r="A57" s="93"/>
      <c r="B57" s="93"/>
      <c r="C57" s="91"/>
      <c r="D57" s="10"/>
      <c r="E57" s="8"/>
      <c r="F57" s="91"/>
      <c r="G57" s="8"/>
      <c r="H57" s="92">
        <f t="shared" si="1"/>
        <v>0</v>
      </c>
      <c r="I57" s="64"/>
      <c r="J57" s="47"/>
      <c r="K57" s="94">
        <f t="shared" si="2"/>
        <v>0</v>
      </c>
    </row>
    <row r="58" ht="15.75" customHeight="1">
      <c r="A58" s="93"/>
      <c r="B58" s="93"/>
      <c r="C58" s="91"/>
      <c r="D58" s="10"/>
      <c r="E58" s="8"/>
      <c r="F58" s="91"/>
      <c r="G58" s="8"/>
      <c r="H58" s="92">
        <f t="shared" si="1"/>
        <v>0</v>
      </c>
      <c r="I58" s="64"/>
      <c r="J58" s="47"/>
      <c r="K58" s="94">
        <f t="shared" si="2"/>
        <v>0</v>
      </c>
    </row>
    <row r="59" ht="15.75" customHeight="1">
      <c r="A59" s="93"/>
      <c r="B59" s="93"/>
      <c r="C59" s="91"/>
      <c r="D59" s="10"/>
      <c r="E59" s="8"/>
      <c r="F59" s="91"/>
      <c r="G59" s="8"/>
      <c r="H59" s="92">
        <f t="shared" si="1"/>
        <v>0</v>
      </c>
      <c r="I59" s="64"/>
      <c r="J59" s="47"/>
      <c r="K59" s="94">
        <f t="shared" si="2"/>
        <v>0</v>
      </c>
    </row>
    <row r="60" ht="15.75" customHeight="1">
      <c r="A60" s="93"/>
      <c r="B60" s="93"/>
      <c r="C60" s="91"/>
      <c r="D60" s="10"/>
      <c r="E60" s="8"/>
      <c r="F60" s="91"/>
      <c r="G60" s="8"/>
      <c r="H60" s="92">
        <f t="shared" si="1"/>
        <v>0</v>
      </c>
      <c r="I60" s="64"/>
      <c r="J60" s="47"/>
      <c r="K60" s="94">
        <f t="shared" si="2"/>
        <v>0</v>
      </c>
    </row>
    <row r="61" ht="15.75" customHeight="1">
      <c r="A61" s="93"/>
      <c r="B61" s="93"/>
      <c r="C61" s="91"/>
      <c r="D61" s="10"/>
      <c r="E61" s="8"/>
      <c r="F61" s="91"/>
      <c r="G61" s="8"/>
      <c r="H61" s="92">
        <f t="shared" si="1"/>
        <v>0</v>
      </c>
      <c r="I61" s="64"/>
      <c r="J61" s="47"/>
      <c r="K61" s="94">
        <f t="shared" si="2"/>
        <v>0</v>
      </c>
    </row>
    <row r="62" ht="15.75" customHeight="1">
      <c r="A62" s="93"/>
      <c r="B62" s="93"/>
      <c r="C62" s="91"/>
      <c r="D62" s="10"/>
      <c r="E62" s="8"/>
      <c r="F62" s="91"/>
      <c r="G62" s="8"/>
      <c r="H62" s="92">
        <f t="shared" si="1"/>
        <v>0</v>
      </c>
      <c r="I62" s="64"/>
      <c r="J62" s="47"/>
      <c r="K62" s="94">
        <f t="shared" si="2"/>
        <v>0</v>
      </c>
    </row>
    <row r="63" ht="15.75" customHeight="1">
      <c r="A63" s="93"/>
      <c r="B63" s="93"/>
      <c r="C63" s="91"/>
      <c r="D63" s="10"/>
      <c r="E63" s="8"/>
      <c r="F63" s="91"/>
      <c r="G63" s="8"/>
      <c r="H63" s="92">
        <f t="shared" si="1"/>
        <v>0</v>
      </c>
      <c r="I63" s="64"/>
      <c r="J63" s="47"/>
      <c r="K63" s="94">
        <f t="shared" si="2"/>
        <v>0</v>
      </c>
    </row>
    <row r="64" ht="15.75" customHeight="1">
      <c r="A64" s="93"/>
      <c r="B64" s="93"/>
      <c r="C64" s="91"/>
      <c r="D64" s="10"/>
      <c r="E64" s="8"/>
      <c r="F64" s="91"/>
      <c r="G64" s="8"/>
      <c r="H64" s="92">
        <f t="shared" si="1"/>
        <v>0</v>
      </c>
      <c r="I64" s="64"/>
      <c r="J64" s="47"/>
      <c r="K64" s="94">
        <f t="shared" si="2"/>
        <v>0</v>
      </c>
    </row>
    <row r="65" ht="15.75" customHeight="1">
      <c r="A65" s="93"/>
      <c r="B65" s="93"/>
      <c r="C65" s="91"/>
      <c r="D65" s="10"/>
      <c r="E65" s="8"/>
      <c r="F65" s="91"/>
      <c r="G65" s="8"/>
      <c r="H65" s="92">
        <f t="shared" si="1"/>
        <v>0</v>
      </c>
      <c r="I65" s="64"/>
      <c r="J65" s="47"/>
      <c r="K65" s="94">
        <f t="shared" si="2"/>
        <v>0</v>
      </c>
    </row>
    <row r="66" ht="15.75" customHeight="1">
      <c r="A66" s="93"/>
      <c r="B66" s="93"/>
      <c r="C66" s="91"/>
      <c r="D66" s="10"/>
      <c r="E66" s="8"/>
      <c r="F66" s="91"/>
      <c r="G66" s="8"/>
      <c r="H66" s="92">
        <f t="shared" si="1"/>
        <v>0</v>
      </c>
      <c r="I66" s="64"/>
      <c r="J66" s="47"/>
      <c r="K66" s="94">
        <f t="shared" si="2"/>
        <v>0</v>
      </c>
    </row>
    <row r="67" ht="15.75" customHeight="1">
      <c r="A67" s="93"/>
      <c r="B67" s="93"/>
      <c r="C67" s="91"/>
      <c r="D67" s="10"/>
      <c r="E67" s="8"/>
      <c r="F67" s="91"/>
      <c r="G67" s="8"/>
      <c r="H67" s="92">
        <f t="shared" si="1"/>
        <v>0</v>
      </c>
      <c r="I67" s="64"/>
      <c r="J67" s="47"/>
      <c r="K67" s="94">
        <f t="shared" si="2"/>
        <v>0</v>
      </c>
    </row>
    <row r="68" ht="15.75" customHeight="1">
      <c r="A68" s="93"/>
      <c r="B68" s="93"/>
      <c r="C68" s="91"/>
      <c r="D68" s="10"/>
      <c r="E68" s="8"/>
      <c r="F68" s="91"/>
      <c r="G68" s="8"/>
      <c r="H68" s="92">
        <f t="shared" si="1"/>
        <v>0</v>
      </c>
      <c r="I68" s="64"/>
      <c r="J68" s="47"/>
      <c r="K68" s="94">
        <f t="shared" si="2"/>
        <v>0</v>
      </c>
    </row>
    <row r="69" ht="15.75" customHeight="1">
      <c r="A69" s="93"/>
      <c r="B69" s="93"/>
      <c r="C69" s="91"/>
      <c r="D69" s="10"/>
      <c r="E69" s="8"/>
      <c r="F69" s="91"/>
      <c r="G69" s="8"/>
      <c r="H69" s="92">
        <f t="shared" si="1"/>
        <v>0</v>
      </c>
      <c r="I69" s="64"/>
      <c r="J69" s="47"/>
      <c r="K69" s="94">
        <f t="shared" si="2"/>
        <v>0</v>
      </c>
    </row>
    <row r="70" ht="15.75" customHeight="1">
      <c r="A70" s="93"/>
      <c r="B70" s="93"/>
      <c r="C70" s="91"/>
      <c r="D70" s="10"/>
      <c r="E70" s="8"/>
      <c r="F70" s="91"/>
      <c r="G70" s="8"/>
      <c r="H70" s="92">
        <f t="shared" si="1"/>
        <v>0</v>
      </c>
      <c r="I70" s="64"/>
      <c r="J70" s="47"/>
      <c r="K70" s="94">
        <f t="shared" si="2"/>
        <v>0</v>
      </c>
    </row>
    <row r="71" ht="15.75" customHeight="1">
      <c r="A71" s="93"/>
      <c r="B71" s="93"/>
      <c r="C71" s="91"/>
      <c r="D71" s="10"/>
      <c r="E71" s="8"/>
      <c r="F71" s="91"/>
      <c r="G71" s="8"/>
      <c r="H71" s="92">
        <f t="shared" si="1"/>
        <v>0</v>
      </c>
      <c r="I71" s="64"/>
      <c r="J71" s="47"/>
      <c r="K71" s="94">
        <f t="shared" si="2"/>
        <v>0</v>
      </c>
    </row>
    <row r="72" ht="15.75" customHeight="1">
      <c r="A72" s="93"/>
      <c r="B72" s="93"/>
      <c r="C72" s="91"/>
      <c r="D72" s="10"/>
      <c r="E72" s="8"/>
      <c r="F72" s="91"/>
      <c r="G72" s="8"/>
      <c r="H72" s="92">
        <f t="shared" si="1"/>
        <v>0</v>
      </c>
      <c r="I72" s="64"/>
      <c r="J72" s="47"/>
      <c r="K72" s="94">
        <f t="shared" si="2"/>
        <v>0</v>
      </c>
    </row>
    <row r="73" ht="15.75" customHeight="1">
      <c r="A73" s="93"/>
      <c r="B73" s="93"/>
      <c r="C73" s="91"/>
      <c r="D73" s="10"/>
      <c r="E73" s="8"/>
      <c r="F73" s="91"/>
      <c r="G73" s="8"/>
      <c r="H73" s="92">
        <f t="shared" si="1"/>
        <v>0</v>
      </c>
      <c r="I73" s="64"/>
      <c r="J73" s="47"/>
      <c r="K73" s="94">
        <f t="shared" si="2"/>
        <v>0</v>
      </c>
    </row>
    <row r="74" ht="15.0" customHeight="1">
      <c r="A74" s="95" t="s">
        <v>49</v>
      </c>
      <c r="B74" s="10"/>
      <c r="C74" s="10"/>
      <c r="D74" s="10"/>
      <c r="E74" s="10"/>
      <c r="F74" s="10"/>
      <c r="G74" s="8"/>
      <c r="H74" s="89">
        <f>SUM(H14:H73)</f>
        <v>0</v>
      </c>
      <c r="I74" s="96"/>
      <c r="J74" s="96"/>
      <c r="K74" s="96"/>
      <c r="L74" s="96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0" customHeight="1">
      <c r="A75" s="88" t="s">
        <v>94</v>
      </c>
      <c r="B75" s="10"/>
      <c r="C75" s="10"/>
      <c r="D75" s="10"/>
      <c r="E75" s="10"/>
      <c r="F75" s="10"/>
      <c r="G75" s="10"/>
      <c r="H75" s="8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5.0" customHeight="1">
      <c r="A76" s="98" t="s">
        <v>64</v>
      </c>
      <c r="B76" s="8"/>
      <c r="C76" s="98" t="s">
        <v>65</v>
      </c>
      <c r="D76" s="10"/>
      <c r="E76" s="10"/>
      <c r="F76" s="10"/>
      <c r="G76" s="8"/>
      <c r="H76" s="99" t="s">
        <v>48</v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5.0" customHeight="1">
      <c r="A77" s="100"/>
      <c r="B77" s="8"/>
      <c r="C77" s="100"/>
      <c r="D77" s="10"/>
      <c r="E77" s="10"/>
      <c r="F77" s="10"/>
      <c r="G77" s="8"/>
      <c r="H77" s="101" t="str">
        <f>IF(A77="", "", IF(A77="President",0.5,IF(A77="Vice President",0.25,0.125)))</f>
        <v/>
      </c>
      <c r="I77" s="74" t="s">
        <v>66</v>
      </c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0" customHeight="1">
      <c r="A78" s="100"/>
      <c r="B78" s="8"/>
      <c r="C78" s="100"/>
      <c r="D78" s="10"/>
      <c r="E78" s="10"/>
      <c r="F78" s="10"/>
      <c r="G78" s="8"/>
      <c r="H78" s="101" t="str">
        <f t="shared" ref="H78:H98" si="3">IF(A78="", "", IF(A78="President",0.75,IF(A78="Vice President",0.5,0.25)))</f>
        <v/>
      </c>
      <c r="I78" s="64" t="s">
        <v>67</v>
      </c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5.0" customHeight="1">
      <c r="A79" s="100"/>
      <c r="B79" s="8"/>
      <c r="C79" s="100"/>
      <c r="D79" s="10"/>
      <c r="E79" s="10"/>
      <c r="F79" s="10"/>
      <c r="G79" s="8"/>
      <c r="H79" s="101" t="str">
        <f t="shared" si="3"/>
        <v/>
      </c>
      <c r="I79" s="64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5.0" customHeight="1">
      <c r="A80" s="100"/>
      <c r="B80" s="8"/>
      <c r="C80" s="100"/>
      <c r="D80" s="10"/>
      <c r="E80" s="10"/>
      <c r="F80" s="10"/>
      <c r="G80" s="8"/>
      <c r="H80" s="101" t="str">
        <f t="shared" si="3"/>
        <v/>
      </c>
      <c r="I80" s="64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5.0" customHeight="1">
      <c r="A81" s="100"/>
      <c r="B81" s="8"/>
      <c r="C81" s="100"/>
      <c r="D81" s="10"/>
      <c r="E81" s="10"/>
      <c r="F81" s="10"/>
      <c r="G81" s="8"/>
      <c r="H81" s="101" t="str">
        <f t="shared" si="3"/>
        <v/>
      </c>
      <c r="I81" s="64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5.0" customHeight="1">
      <c r="A82" s="100"/>
      <c r="B82" s="8"/>
      <c r="C82" s="100"/>
      <c r="D82" s="10"/>
      <c r="E82" s="10"/>
      <c r="F82" s="10"/>
      <c r="G82" s="8"/>
      <c r="H82" s="101" t="str">
        <f t="shared" si="3"/>
        <v/>
      </c>
      <c r="I82" s="64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5.0" customHeight="1">
      <c r="A83" s="100"/>
      <c r="B83" s="8"/>
      <c r="C83" s="100"/>
      <c r="D83" s="10"/>
      <c r="E83" s="10"/>
      <c r="F83" s="10"/>
      <c r="G83" s="8"/>
      <c r="H83" s="101" t="str">
        <f t="shared" si="3"/>
        <v/>
      </c>
      <c r="I83" s="64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5.0" customHeight="1">
      <c r="A84" s="100"/>
      <c r="B84" s="8"/>
      <c r="C84" s="100"/>
      <c r="D84" s="10"/>
      <c r="E84" s="10"/>
      <c r="F84" s="10"/>
      <c r="G84" s="8"/>
      <c r="H84" s="101" t="str">
        <f t="shared" si="3"/>
        <v/>
      </c>
      <c r="I84" s="64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5.0" customHeight="1">
      <c r="A85" s="100"/>
      <c r="B85" s="8"/>
      <c r="C85" s="100"/>
      <c r="D85" s="10"/>
      <c r="E85" s="10"/>
      <c r="F85" s="10"/>
      <c r="G85" s="8"/>
      <c r="H85" s="101" t="str">
        <f t="shared" si="3"/>
        <v/>
      </c>
      <c r="I85" s="64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5.0" customHeight="1">
      <c r="A86" s="100"/>
      <c r="B86" s="8"/>
      <c r="C86" s="100"/>
      <c r="D86" s="10"/>
      <c r="E86" s="10"/>
      <c r="F86" s="10"/>
      <c r="G86" s="8"/>
      <c r="H86" s="101" t="str">
        <f t="shared" si="3"/>
        <v/>
      </c>
      <c r="I86" s="64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5.0" customHeight="1">
      <c r="A87" s="100"/>
      <c r="B87" s="8"/>
      <c r="C87" s="100"/>
      <c r="D87" s="10"/>
      <c r="E87" s="10"/>
      <c r="F87" s="10"/>
      <c r="G87" s="8"/>
      <c r="H87" s="101" t="str">
        <f t="shared" si="3"/>
        <v/>
      </c>
      <c r="I87" s="64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5.0" customHeight="1">
      <c r="A88" s="100"/>
      <c r="B88" s="8"/>
      <c r="C88" s="100"/>
      <c r="D88" s="10"/>
      <c r="E88" s="10"/>
      <c r="F88" s="10"/>
      <c r="G88" s="8"/>
      <c r="H88" s="101" t="str">
        <f t="shared" si="3"/>
        <v/>
      </c>
      <c r="I88" s="64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5.0" customHeight="1">
      <c r="A89" s="100"/>
      <c r="B89" s="8"/>
      <c r="C89" s="100"/>
      <c r="D89" s="10"/>
      <c r="E89" s="10"/>
      <c r="F89" s="10"/>
      <c r="G89" s="8"/>
      <c r="H89" s="101" t="str">
        <f t="shared" si="3"/>
        <v/>
      </c>
      <c r="I89" s="64" t="s">
        <v>68</v>
      </c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5.0" customHeight="1">
      <c r="A90" s="100"/>
      <c r="B90" s="8"/>
      <c r="C90" s="100"/>
      <c r="D90" s="10"/>
      <c r="E90" s="10"/>
      <c r="F90" s="10"/>
      <c r="G90" s="8"/>
      <c r="H90" s="101" t="str">
        <f t="shared" si="3"/>
        <v/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5.0" customHeight="1">
      <c r="A91" s="100"/>
      <c r="B91" s="8"/>
      <c r="C91" s="100"/>
      <c r="D91" s="10"/>
      <c r="E91" s="10"/>
      <c r="F91" s="10"/>
      <c r="G91" s="8"/>
      <c r="H91" s="101" t="str">
        <f t="shared" si="3"/>
        <v/>
      </c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5.0" customHeight="1">
      <c r="A92" s="100"/>
      <c r="B92" s="8"/>
      <c r="C92" s="100"/>
      <c r="D92" s="10"/>
      <c r="E92" s="10"/>
      <c r="F92" s="10"/>
      <c r="G92" s="8"/>
      <c r="H92" s="101" t="str">
        <f t="shared" si="3"/>
        <v/>
      </c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5.0" customHeight="1">
      <c r="A93" s="100"/>
      <c r="B93" s="8"/>
      <c r="C93" s="100"/>
      <c r="D93" s="10"/>
      <c r="E93" s="10"/>
      <c r="F93" s="10"/>
      <c r="G93" s="8"/>
      <c r="H93" s="101" t="str">
        <f t="shared" si="3"/>
        <v/>
      </c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5.0" customHeight="1">
      <c r="A94" s="100"/>
      <c r="B94" s="8"/>
      <c r="C94" s="100"/>
      <c r="D94" s="10"/>
      <c r="E94" s="10"/>
      <c r="F94" s="10"/>
      <c r="G94" s="8"/>
      <c r="H94" s="101" t="str">
        <f t="shared" si="3"/>
        <v/>
      </c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5.0" customHeight="1">
      <c r="A95" s="100"/>
      <c r="B95" s="8"/>
      <c r="C95" s="100"/>
      <c r="D95" s="10"/>
      <c r="E95" s="10"/>
      <c r="F95" s="10"/>
      <c r="G95" s="8"/>
      <c r="H95" s="101" t="str">
        <f t="shared" si="3"/>
        <v/>
      </c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5.0" customHeight="1">
      <c r="A96" s="100"/>
      <c r="B96" s="8"/>
      <c r="C96" s="100"/>
      <c r="D96" s="10"/>
      <c r="E96" s="10"/>
      <c r="F96" s="10"/>
      <c r="G96" s="8"/>
      <c r="H96" s="101" t="str">
        <f t="shared" si="3"/>
        <v/>
      </c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5.0" customHeight="1">
      <c r="A97" s="100"/>
      <c r="B97" s="8"/>
      <c r="C97" s="100"/>
      <c r="D97" s="10"/>
      <c r="E97" s="10"/>
      <c r="F97" s="10"/>
      <c r="G97" s="8"/>
      <c r="H97" s="101" t="str">
        <f t="shared" si="3"/>
        <v/>
      </c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5.0" customHeight="1">
      <c r="A98" s="100"/>
      <c r="B98" s="8"/>
      <c r="C98" s="100"/>
      <c r="D98" s="10"/>
      <c r="E98" s="10"/>
      <c r="F98" s="10"/>
      <c r="G98" s="8"/>
      <c r="H98" s="101" t="str">
        <f t="shared" si="3"/>
        <v/>
      </c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5.0" customHeight="1">
      <c r="A99" s="102" t="s">
        <v>49</v>
      </c>
      <c r="B99" s="10"/>
      <c r="C99" s="10"/>
      <c r="D99" s="10"/>
      <c r="E99" s="10"/>
      <c r="F99" s="10"/>
      <c r="G99" s="8"/>
      <c r="H99" s="101">
        <f>SUM(H77:H98)</f>
        <v>0</v>
      </c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4.25" customHeight="1">
      <c r="A100" s="88" t="s">
        <v>95</v>
      </c>
      <c r="B100" s="10"/>
      <c r="C100" s="10"/>
      <c r="D100" s="10"/>
      <c r="E100" s="10"/>
      <c r="F100" s="10"/>
      <c r="G100" s="10"/>
      <c r="H100" s="8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4.25" customHeight="1">
      <c r="A101" s="101" t="s">
        <v>70</v>
      </c>
      <c r="B101" s="100" t="s">
        <v>71</v>
      </c>
      <c r="C101" s="10"/>
      <c r="D101" s="8"/>
      <c r="E101" s="100" t="s">
        <v>72</v>
      </c>
      <c r="F101" s="10"/>
      <c r="G101" s="8"/>
      <c r="H101" s="101" t="s">
        <v>48</v>
      </c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4.25" customHeight="1">
      <c r="A102" s="101"/>
      <c r="B102" s="100" t="s">
        <v>96</v>
      </c>
      <c r="C102" s="10"/>
      <c r="D102" s="8"/>
      <c r="E102" s="100"/>
      <c r="F102" s="10"/>
      <c r="G102" s="8"/>
      <c r="H102" s="101">
        <f t="shared" ref="H102:H115" si="4">IF(ISBLANK(B102), 0, 1)</f>
        <v>1</v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4.25" customHeight="1">
      <c r="A103" s="101"/>
      <c r="B103" s="100" t="s">
        <v>97</v>
      </c>
      <c r="C103" s="10"/>
      <c r="D103" s="8"/>
      <c r="E103" s="100"/>
      <c r="F103" s="10"/>
      <c r="G103" s="8"/>
      <c r="H103" s="101">
        <f t="shared" si="4"/>
        <v>1</v>
      </c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4.25" customHeight="1">
      <c r="A104" s="101"/>
      <c r="B104" s="100" t="s">
        <v>84</v>
      </c>
      <c r="C104" s="10"/>
      <c r="D104" s="8"/>
      <c r="E104" s="100"/>
      <c r="F104" s="10"/>
      <c r="G104" s="8"/>
      <c r="H104" s="101">
        <f t="shared" si="4"/>
        <v>1</v>
      </c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4.25" customHeight="1">
      <c r="A105" s="101"/>
      <c r="B105" s="100" t="s">
        <v>98</v>
      </c>
      <c r="C105" s="10"/>
      <c r="D105" s="8"/>
      <c r="E105" s="100"/>
      <c r="F105" s="10"/>
      <c r="G105" s="8"/>
      <c r="H105" s="101">
        <f t="shared" si="4"/>
        <v>1</v>
      </c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14.25" customHeight="1">
      <c r="A106" s="101"/>
      <c r="B106" s="100" t="s">
        <v>98</v>
      </c>
      <c r="C106" s="10"/>
      <c r="D106" s="8"/>
      <c r="E106" s="100"/>
      <c r="F106" s="10"/>
      <c r="G106" s="8"/>
      <c r="H106" s="101">
        <f t="shared" si="4"/>
        <v>1</v>
      </c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4.25" customHeight="1">
      <c r="A107" s="101"/>
      <c r="B107" s="100" t="s">
        <v>97</v>
      </c>
      <c r="C107" s="10"/>
      <c r="D107" s="8"/>
      <c r="E107" s="100"/>
      <c r="F107" s="10"/>
      <c r="G107" s="8"/>
      <c r="H107" s="101">
        <f t="shared" si="4"/>
        <v>1</v>
      </c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4.25" customHeight="1">
      <c r="A108" s="101"/>
      <c r="B108" s="100" t="s">
        <v>99</v>
      </c>
      <c r="C108" s="10"/>
      <c r="D108" s="8"/>
      <c r="E108" s="100"/>
      <c r="F108" s="10"/>
      <c r="G108" s="8"/>
      <c r="H108" s="101">
        <f t="shared" si="4"/>
        <v>1</v>
      </c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4.25" customHeight="1">
      <c r="A109" s="101"/>
      <c r="B109" s="100" t="s">
        <v>99</v>
      </c>
      <c r="C109" s="10"/>
      <c r="D109" s="8"/>
      <c r="E109" s="100"/>
      <c r="F109" s="10"/>
      <c r="G109" s="8"/>
      <c r="H109" s="101">
        <f t="shared" si="4"/>
        <v>1</v>
      </c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4.25" customHeight="1">
      <c r="A110" s="101"/>
      <c r="B110" s="100" t="s">
        <v>99</v>
      </c>
      <c r="C110" s="10"/>
      <c r="D110" s="8"/>
      <c r="E110" s="100"/>
      <c r="F110" s="10"/>
      <c r="G110" s="8"/>
      <c r="H110" s="101">
        <f t="shared" si="4"/>
        <v>1</v>
      </c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4.25" customHeight="1">
      <c r="A111" s="101"/>
      <c r="B111" s="100" t="s">
        <v>99</v>
      </c>
      <c r="C111" s="10"/>
      <c r="D111" s="8"/>
      <c r="E111" s="100"/>
      <c r="F111" s="10"/>
      <c r="G111" s="8"/>
      <c r="H111" s="101">
        <f t="shared" si="4"/>
        <v>1</v>
      </c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4.25" customHeight="1">
      <c r="A112" s="101"/>
      <c r="B112" s="100" t="s">
        <v>99</v>
      </c>
      <c r="C112" s="10"/>
      <c r="D112" s="8"/>
      <c r="E112" s="100"/>
      <c r="F112" s="10"/>
      <c r="G112" s="8"/>
      <c r="H112" s="101">
        <f t="shared" si="4"/>
        <v>1</v>
      </c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4.25" customHeight="1">
      <c r="A113" s="103"/>
      <c r="B113" s="100" t="s">
        <v>99</v>
      </c>
      <c r="C113" s="10"/>
      <c r="D113" s="8"/>
      <c r="E113" s="100"/>
      <c r="F113" s="10"/>
      <c r="G113" s="8"/>
      <c r="H113" s="101">
        <f t="shared" si="4"/>
        <v>1</v>
      </c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4.25" customHeight="1">
      <c r="A114" s="103"/>
      <c r="B114" s="100" t="s">
        <v>99</v>
      </c>
      <c r="C114" s="10"/>
      <c r="D114" s="8"/>
      <c r="E114" s="100"/>
      <c r="F114" s="10"/>
      <c r="G114" s="8"/>
      <c r="H114" s="101">
        <f t="shared" si="4"/>
        <v>1</v>
      </c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5.0" customHeight="1">
      <c r="A115" s="101"/>
      <c r="B115" s="100" t="s">
        <v>99</v>
      </c>
      <c r="C115" s="10"/>
      <c r="D115" s="8"/>
      <c r="E115" s="100"/>
      <c r="F115" s="10"/>
      <c r="G115" s="8"/>
      <c r="H115" s="101">
        <f t="shared" si="4"/>
        <v>1</v>
      </c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5.0" customHeight="1">
      <c r="A116" s="102" t="s">
        <v>49</v>
      </c>
      <c r="B116" s="10"/>
      <c r="C116" s="10"/>
      <c r="D116" s="10"/>
      <c r="E116" s="10"/>
      <c r="F116" s="10"/>
      <c r="G116" s="8"/>
      <c r="H116" s="101">
        <f>SUM(H102:H115)</f>
        <v>14</v>
      </c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5.75" customHeight="1">
      <c r="A117" s="79"/>
      <c r="B117" s="79"/>
      <c r="C117" s="79"/>
      <c r="D117" s="79"/>
      <c r="E117" s="79"/>
      <c r="F117" s="79"/>
      <c r="G117" s="79"/>
      <c r="H117" s="80"/>
    </row>
    <row r="118" ht="15.75" customHeight="1">
      <c r="A118" s="76" t="s">
        <v>100</v>
      </c>
      <c r="B118" s="5"/>
      <c r="C118" s="5"/>
      <c r="D118" s="5"/>
      <c r="E118" s="5"/>
      <c r="F118" s="5"/>
      <c r="G118" s="5"/>
      <c r="H118" s="6"/>
    </row>
    <row r="119" ht="15.0" customHeight="1">
      <c r="A119" s="19" t="s">
        <v>76</v>
      </c>
      <c r="B119" s="10"/>
      <c r="C119" s="10"/>
      <c r="D119" s="10"/>
      <c r="E119" s="10"/>
      <c r="F119" s="8"/>
      <c r="G119" s="83" t="s">
        <v>49</v>
      </c>
      <c r="H119" s="104">
        <f>H74</f>
        <v>0</v>
      </c>
    </row>
    <row r="120" ht="15.75" customHeight="1">
      <c r="A120" s="19" t="s">
        <v>77</v>
      </c>
      <c r="B120" s="10"/>
      <c r="C120" s="10"/>
      <c r="D120" s="10"/>
      <c r="E120" s="10"/>
      <c r="F120" s="8"/>
      <c r="G120" s="83" t="s">
        <v>49</v>
      </c>
      <c r="H120" s="104">
        <f>H99</f>
        <v>0</v>
      </c>
    </row>
    <row r="121" ht="15.75" customHeight="1">
      <c r="A121" s="19" t="s">
        <v>78</v>
      </c>
      <c r="B121" s="10"/>
      <c r="C121" s="10"/>
      <c r="D121" s="10"/>
      <c r="E121" s="10"/>
      <c r="F121" s="8"/>
      <c r="G121" s="83" t="s">
        <v>49</v>
      </c>
      <c r="H121" s="104">
        <f>H116</f>
        <v>14</v>
      </c>
    </row>
    <row r="122" ht="15.75" customHeight="1">
      <c r="A122" s="61" t="s">
        <v>13</v>
      </c>
      <c r="B122" s="15"/>
      <c r="C122" s="15"/>
      <c r="D122" s="15"/>
      <c r="E122" s="15"/>
      <c r="F122" s="15"/>
      <c r="G122" s="13"/>
      <c r="H122" s="105">
        <f>MIN(SUM(H119:H121),12)</f>
        <v>12</v>
      </c>
    </row>
    <row r="123" ht="15.75" customHeight="1">
      <c r="A123" s="79"/>
      <c r="B123" s="79"/>
      <c r="C123" s="79"/>
      <c r="D123" s="79"/>
      <c r="E123" s="79"/>
      <c r="F123" s="79"/>
      <c r="G123" s="79"/>
      <c r="H123" s="80"/>
    </row>
    <row r="124" ht="15.75" customHeight="1">
      <c r="A124" s="79"/>
      <c r="B124" s="79"/>
      <c r="C124" s="79"/>
      <c r="D124" s="79"/>
      <c r="E124" s="79"/>
      <c r="F124" s="79"/>
      <c r="G124" s="79"/>
      <c r="H124" s="80"/>
    </row>
    <row r="125" ht="15.75" customHeight="1">
      <c r="A125" s="79"/>
      <c r="B125" s="79"/>
      <c r="C125" s="79"/>
      <c r="D125" s="79"/>
      <c r="E125" s="79"/>
      <c r="F125" s="79"/>
      <c r="G125" s="79"/>
      <c r="H125" s="80"/>
    </row>
    <row r="126" ht="15.75" customHeight="1">
      <c r="A126" s="79"/>
      <c r="B126" s="79"/>
      <c r="C126" s="79"/>
      <c r="D126" s="79"/>
      <c r="E126" s="79"/>
      <c r="F126" s="79"/>
      <c r="G126" s="79"/>
      <c r="H126" s="80"/>
    </row>
    <row r="127" ht="15.75" customHeight="1">
      <c r="A127" s="79"/>
      <c r="B127" s="79"/>
      <c r="C127" s="79"/>
      <c r="D127" s="79"/>
      <c r="E127" s="79"/>
      <c r="F127" s="79"/>
      <c r="G127" s="79"/>
      <c r="H127" s="80"/>
    </row>
    <row r="128" ht="15.75" customHeight="1">
      <c r="A128" s="79"/>
      <c r="B128" s="79"/>
      <c r="C128" s="79"/>
      <c r="D128" s="79"/>
      <c r="E128" s="79"/>
      <c r="F128" s="79"/>
      <c r="G128" s="79"/>
      <c r="H128" s="80"/>
    </row>
    <row r="129" ht="15.75" customHeight="1">
      <c r="A129" s="79"/>
      <c r="B129" s="79"/>
      <c r="C129" s="79"/>
      <c r="D129" s="79"/>
      <c r="E129" s="79"/>
      <c r="F129" s="79"/>
      <c r="G129" s="79"/>
      <c r="H129" s="80"/>
    </row>
    <row r="130" ht="15.75" customHeight="1">
      <c r="A130" s="79"/>
      <c r="B130" s="79"/>
      <c r="C130" s="79"/>
      <c r="D130" s="79"/>
      <c r="E130" s="79"/>
      <c r="F130" s="79"/>
      <c r="G130" s="79"/>
      <c r="H130" s="80"/>
    </row>
    <row r="131" ht="15.75" customHeight="1">
      <c r="A131" s="79"/>
      <c r="B131" s="79"/>
      <c r="C131" s="79"/>
      <c r="D131" s="79"/>
      <c r="E131" s="79"/>
      <c r="F131" s="79"/>
      <c r="G131" s="79"/>
      <c r="H131" s="80"/>
    </row>
    <row r="132" ht="15.75" customHeight="1">
      <c r="A132" s="79"/>
      <c r="B132" s="79"/>
      <c r="C132" s="79"/>
      <c r="D132" s="79"/>
      <c r="E132" s="79"/>
      <c r="F132" s="79"/>
      <c r="G132" s="79"/>
      <c r="H132" s="80"/>
    </row>
    <row r="133" ht="15.75" customHeight="1">
      <c r="A133" s="79"/>
      <c r="B133" s="79"/>
      <c r="C133" s="79"/>
      <c r="D133" s="79"/>
      <c r="E133" s="79"/>
      <c r="F133" s="79"/>
      <c r="G133" s="79"/>
      <c r="H133" s="80"/>
    </row>
    <row r="134" ht="15.75" customHeight="1">
      <c r="A134" s="79"/>
      <c r="B134" s="79"/>
      <c r="C134" s="79"/>
      <c r="D134" s="79"/>
      <c r="E134" s="79"/>
      <c r="F134" s="79"/>
      <c r="G134" s="79"/>
      <c r="H134" s="80"/>
    </row>
    <row r="135" ht="15.75" customHeight="1">
      <c r="A135" s="79"/>
      <c r="B135" s="79"/>
      <c r="C135" s="79"/>
      <c r="D135" s="79"/>
      <c r="E135" s="79"/>
      <c r="F135" s="79"/>
      <c r="G135" s="79"/>
      <c r="H135" s="80"/>
    </row>
    <row r="136" ht="15.75" customHeight="1">
      <c r="A136" s="79"/>
      <c r="B136" s="79"/>
      <c r="C136" s="79"/>
      <c r="D136" s="79"/>
      <c r="E136" s="79"/>
      <c r="F136" s="79"/>
      <c r="G136" s="79"/>
      <c r="H136" s="80"/>
    </row>
    <row r="137" ht="15.75" customHeight="1">
      <c r="A137" s="79"/>
      <c r="B137" s="79"/>
      <c r="C137" s="79"/>
      <c r="D137" s="79"/>
      <c r="E137" s="79"/>
      <c r="F137" s="79"/>
      <c r="G137" s="79"/>
      <c r="H137" s="80"/>
    </row>
    <row r="138" ht="15.75" customHeight="1">
      <c r="A138" s="79"/>
      <c r="B138" s="79"/>
      <c r="C138" s="79"/>
      <c r="D138" s="79"/>
      <c r="E138" s="79"/>
      <c r="F138" s="79"/>
      <c r="G138" s="79"/>
      <c r="H138" s="80"/>
    </row>
    <row r="139" ht="15.75" customHeight="1">
      <c r="A139" s="79"/>
      <c r="B139" s="79"/>
      <c r="C139" s="79"/>
      <c r="D139" s="79"/>
      <c r="E139" s="79"/>
      <c r="F139" s="79"/>
      <c r="G139" s="79"/>
      <c r="H139" s="80"/>
    </row>
    <row r="140" ht="15.75" customHeight="1"/>
    <row r="141" ht="15.75" customHeight="1">
      <c r="A141" s="25" t="s">
        <v>21</v>
      </c>
      <c r="B141" s="106"/>
      <c r="C141" s="26"/>
      <c r="D141" s="26"/>
      <c r="E141" s="26"/>
      <c r="F141" s="26"/>
      <c r="G141" s="26"/>
      <c r="H141" s="27"/>
    </row>
    <row r="142" ht="15.75" customHeight="1">
      <c r="A142" s="28"/>
      <c r="B142" s="51"/>
      <c r="H142" s="29"/>
    </row>
    <row r="143" ht="15.75" customHeight="1">
      <c r="A143" s="30" t="s">
        <v>22</v>
      </c>
      <c r="B143" s="31"/>
      <c r="C143" s="31"/>
      <c r="D143" s="31"/>
      <c r="F143" s="32" t="s">
        <v>23</v>
      </c>
      <c r="G143" s="31"/>
      <c r="H143" s="33"/>
    </row>
    <row r="144" ht="15.75" customHeight="1">
      <c r="A144" s="85" t="s">
        <v>24</v>
      </c>
      <c r="F144" s="1" t="s">
        <v>25</v>
      </c>
      <c r="H144" s="36"/>
    </row>
    <row r="145" ht="15.75" customHeight="1">
      <c r="A145" s="37" t="s">
        <v>26</v>
      </c>
      <c r="F145" s="38" t="s">
        <v>26</v>
      </c>
      <c r="H145" s="36"/>
    </row>
    <row r="146" ht="15.75" customHeight="1">
      <c r="A146" s="28"/>
      <c r="B146" s="51"/>
      <c r="H146" s="29"/>
    </row>
    <row r="147" ht="15.75" customHeight="1">
      <c r="A147" s="28"/>
      <c r="B147" s="51"/>
      <c r="D147" s="32" t="s">
        <v>55</v>
      </c>
      <c r="E147" s="31"/>
      <c r="F147" s="31"/>
      <c r="H147" s="29"/>
    </row>
    <row r="148" ht="15.75" customHeight="1">
      <c r="A148" s="28"/>
      <c r="B148" s="51"/>
      <c r="D148" s="1" t="s">
        <v>24</v>
      </c>
      <c r="H148" s="29"/>
    </row>
    <row r="149" ht="15.75" customHeight="1">
      <c r="A149" s="39"/>
      <c r="B149" s="40"/>
      <c r="C149" s="40"/>
      <c r="D149" s="41" t="s">
        <v>26</v>
      </c>
      <c r="E149" s="42"/>
      <c r="F149" s="42"/>
      <c r="G149" s="40"/>
      <c r="H149" s="43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A1:H1"/>
    <mergeCell ref="K1:L1"/>
    <mergeCell ref="A2:H2"/>
    <mergeCell ref="A4:H4"/>
    <mergeCell ref="A6:C6"/>
    <mergeCell ref="D6:H6"/>
    <mergeCell ref="D7:H7"/>
    <mergeCell ref="A7:C7"/>
    <mergeCell ref="A8:C8"/>
    <mergeCell ref="D8:H8"/>
    <mergeCell ref="A10:F10"/>
    <mergeCell ref="A11:H11"/>
    <mergeCell ref="A12:H12"/>
    <mergeCell ref="F13:G13"/>
    <mergeCell ref="C13:E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F20:G20"/>
    <mergeCell ref="C20:E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F27:G27"/>
    <mergeCell ref="C27:E27"/>
    <mergeCell ref="C28:E28"/>
    <mergeCell ref="F28:G28"/>
    <mergeCell ref="C29:E29"/>
    <mergeCell ref="F29:G29"/>
    <mergeCell ref="C30:E30"/>
    <mergeCell ref="F30:G30"/>
    <mergeCell ref="C52:E52"/>
    <mergeCell ref="F52:G52"/>
    <mergeCell ref="C53:E53"/>
    <mergeCell ref="F53:G53"/>
    <mergeCell ref="C54:E54"/>
    <mergeCell ref="F54:G54"/>
    <mergeCell ref="F55:G55"/>
    <mergeCell ref="C55:E55"/>
    <mergeCell ref="C56:E56"/>
    <mergeCell ref="F56:G56"/>
    <mergeCell ref="C57:E57"/>
    <mergeCell ref="F57:G57"/>
    <mergeCell ref="C58:E58"/>
    <mergeCell ref="F58:G58"/>
    <mergeCell ref="C59:E59"/>
    <mergeCell ref="F59:G59"/>
    <mergeCell ref="C60:E60"/>
    <mergeCell ref="F60:G60"/>
    <mergeCell ref="C61:E61"/>
    <mergeCell ref="F61:G61"/>
    <mergeCell ref="F62:G62"/>
    <mergeCell ref="C62:E62"/>
    <mergeCell ref="C63:E63"/>
    <mergeCell ref="F63:G63"/>
    <mergeCell ref="C64:E64"/>
    <mergeCell ref="F64:G64"/>
    <mergeCell ref="C65:E65"/>
    <mergeCell ref="F65:G65"/>
    <mergeCell ref="C31:E31"/>
    <mergeCell ref="F31:G31"/>
    <mergeCell ref="C32:E32"/>
    <mergeCell ref="F32:G32"/>
    <mergeCell ref="C33:E33"/>
    <mergeCell ref="F33:G33"/>
    <mergeCell ref="F34:G34"/>
    <mergeCell ref="C34:E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F48:G48"/>
    <mergeCell ref="C48:E48"/>
    <mergeCell ref="C49:E49"/>
    <mergeCell ref="F49:G49"/>
    <mergeCell ref="C50:E50"/>
    <mergeCell ref="F50:G50"/>
    <mergeCell ref="C51:E51"/>
    <mergeCell ref="F51:G51"/>
    <mergeCell ref="C73:E73"/>
    <mergeCell ref="F73:G73"/>
    <mergeCell ref="C93:G93"/>
    <mergeCell ref="C94:G94"/>
    <mergeCell ref="C86:G86"/>
    <mergeCell ref="C87:G87"/>
    <mergeCell ref="C88:G88"/>
    <mergeCell ref="C89:G89"/>
    <mergeCell ref="C90:G90"/>
    <mergeCell ref="C91:G91"/>
    <mergeCell ref="C92:G92"/>
    <mergeCell ref="A97:B97"/>
    <mergeCell ref="C97:G97"/>
    <mergeCell ref="A98:B98"/>
    <mergeCell ref="C98:G98"/>
    <mergeCell ref="A99:G99"/>
    <mergeCell ref="A100:H100"/>
    <mergeCell ref="E101:G101"/>
    <mergeCell ref="B101:D101"/>
    <mergeCell ref="B102:D102"/>
    <mergeCell ref="E102:G102"/>
    <mergeCell ref="B103:D103"/>
    <mergeCell ref="E103:G103"/>
    <mergeCell ref="B104:D104"/>
    <mergeCell ref="E104:G104"/>
    <mergeCell ref="B105:D105"/>
    <mergeCell ref="E105:G105"/>
    <mergeCell ref="B106:D106"/>
    <mergeCell ref="E106:G106"/>
    <mergeCell ref="B107:D107"/>
    <mergeCell ref="E107:G107"/>
    <mergeCell ref="E108:G108"/>
    <mergeCell ref="A116:G116"/>
    <mergeCell ref="A118:H118"/>
    <mergeCell ref="A119:F119"/>
    <mergeCell ref="A120:F120"/>
    <mergeCell ref="A121:F121"/>
    <mergeCell ref="A122:G122"/>
    <mergeCell ref="E109:G109"/>
    <mergeCell ref="E110:G110"/>
    <mergeCell ref="E111:G111"/>
    <mergeCell ref="E112:G112"/>
    <mergeCell ref="E113:G113"/>
    <mergeCell ref="E114:G114"/>
    <mergeCell ref="E115:G115"/>
    <mergeCell ref="B108:D108"/>
    <mergeCell ref="B109:D109"/>
    <mergeCell ref="B110:D110"/>
    <mergeCell ref="B111:D111"/>
    <mergeCell ref="B112:D112"/>
    <mergeCell ref="B113:D113"/>
    <mergeCell ref="B114:D114"/>
    <mergeCell ref="D147:F147"/>
    <mergeCell ref="D148:F148"/>
    <mergeCell ref="D149:F149"/>
    <mergeCell ref="B115:D115"/>
    <mergeCell ref="A143:D143"/>
    <mergeCell ref="F143:H143"/>
    <mergeCell ref="A144:D144"/>
    <mergeCell ref="F144:H144"/>
    <mergeCell ref="A145:D145"/>
    <mergeCell ref="F145:H145"/>
    <mergeCell ref="C66:E66"/>
    <mergeCell ref="F66:G66"/>
    <mergeCell ref="C67:E67"/>
    <mergeCell ref="F67:G67"/>
    <mergeCell ref="C68:E68"/>
    <mergeCell ref="F68:G68"/>
    <mergeCell ref="F69:G69"/>
    <mergeCell ref="C69:E69"/>
    <mergeCell ref="C70:E70"/>
    <mergeCell ref="F70:G70"/>
    <mergeCell ref="C71:E71"/>
    <mergeCell ref="F71:G71"/>
    <mergeCell ref="C72:E72"/>
    <mergeCell ref="F72:G72"/>
    <mergeCell ref="A74:G74"/>
    <mergeCell ref="A75:H75"/>
    <mergeCell ref="A76:B76"/>
    <mergeCell ref="C76:G76"/>
    <mergeCell ref="A77:B77"/>
    <mergeCell ref="C77:G77"/>
    <mergeCell ref="C78:G78"/>
    <mergeCell ref="A78:B78"/>
    <mergeCell ref="A79:B79"/>
    <mergeCell ref="A80:B80"/>
    <mergeCell ref="A81:B81"/>
    <mergeCell ref="A82:B82"/>
    <mergeCell ref="A83:B83"/>
    <mergeCell ref="A84:B84"/>
    <mergeCell ref="C79:G79"/>
    <mergeCell ref="C80:G80"/>
    <mergeCell ref="C81:G81"/>
    <mergeCell ref="C82:G82"/>
    <mergeCell ref="C83:G83"/>
    <mergeCell ref="C84:G84"/>
    <mergeCell ref="C85:G85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C95:G95"/>
    <mergeCell ref="A96:B96"/>
    <mergeCell ref="C96:G96"/>
  </mergeCells>
  <dataValidations>
    <dataValidation type="list" allowBlank="1" showErrorMessage="1" sqref="A77:A98">
      <formula1>$I$77:$I$89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0.78"/>
    <col customWidth="1" min="3" max="3" width="9.33"/>
    <col customWidth="1" min="4" max="4" width="10.89"/>
    <col customWidth="1" min="5" max="5" width="3.22"/>
    <col customWidth="1" min="6" max="6" width="8.89"/>
    <col customWidth="1" min="7" max="7" width="5.89"/>
    <col customWidth="1" min="8" max="8" width="12.78"/>
    <col customWidth="1" hidden="1" min="9" max="11" width="10.78"/>
    <col customWidth="1" hidden="1" min="12" max="12" width="10.89"/>
    <col customWidth="1" min="13" max="26" width="10.89"/>
  </cols>
  <sheetData>
    <row r="1">
      <c r="A1" s="1" t="s">
        <v>28</v>
      </c>
      <c r="I1" s="44" t="s">
        <v>29</v>
      </c>
      <c r="J1" s="44" t="s">
        <v>30</v>
      </c>
      <c r="K1" s="45"/>
    </row>
    <row r="2">
      <c r="A2" s="1" t="s">
        <v>1</v>
      </c>
      <c r="I2" s="46">
        <v>1.0</v>
      </c>
      <c r="J2" s="46">
        <v>30.0</v>
      </c>
    </row>
    <row r="3">
      <c r="I3" s="47">
        <v>1.07</v>
      </c>
      <c r="J3" s="47">
        <v>29.0</v>
      </c>
      <c r="K3" s="44" t="s">
        <v>31</v>
      </c>
    </row>
    <row r="4">
      <c r="A4" s="1" t="s">
        <v>101</v>
      </c>
      <c r="I4" s="47">
        <v>1.14</v>
      </c>
      <c r="J4" s="47">
        <v>28.0</v>
      </c>
      <c r="K4" s="44" t="s">
        <v>33</v>
      </c>
    </row>
    <row r="5">
      <c r="I5" s="47">
        <v>1.21</v>
      </c>
      <c r="J5" s="47">
        <v>27.0</v>
      </c>
      <c r="K5" s="44" t="s">
        <v>34</v>
      </c>
    </row>
    <row r="6">
      <c r="A6" s="48" t="s">
        <v>3</v>
      </c>
      <c r="B6" s="5"/>
      <c r="C6" s="3"/>
      <c r="D6" s="49" t="str">
        <f>SUMMARY!C6</f>
        <v/>
      </c>
      <c r="E6" s="5"/>
      <c r="F6" s="5"/>
      <c r="G6" s="5"/>
      <c r="H6" s="6"/>
      <c r="I6" s="47">
        <v>1.28</v>
      </c>
      <c r="J6" s="47">
        <v>26.0</v>
      </c>
      <c r="K6" s="44" t="s">
        <v>35</v>
      </c>
    </row>
    <row r="7">
      <c r="A7" s="19" t="s">
        <v>4</v>
      </c>
      <c r="B7" s="10"/>
      <c r="C7" s="8"/>
      <c r="D7" s="50" t="str">
        <f>SUMMARY!C7</f>
        <v/>
      </c>
      <c r="E7" s="10"/>
      <c r="F7" s="10"/>
      <c r="G7" s="10"/>
      <c r="H7" s="11"/>
      <c r="I7" s="47">
        <v>1.35</v>
      </c>
      <c r="J7" s="47">
        <v>25.0</v>
      </c>
      <c r="K7" s="51" t="s">
        <v>36</v>
      </c>
      <c r="L7" s="51"/>
    </row>
    <row r="8">
      <c r="A8" s="52" t="s">
        <v>5</v>
      </c>
      <c r="B8" s="15"/>
      <c r="C8" s="13"/>
      <c r="D8" s="53" t="str">
        <f>SUMMARY!C8</f>
        <v/>
      </c>
      <c r="E8" s="15"/>
      <c r="F8" s="15"/>
      <c r="G8" s="15"/>
      <c r="H8" s="16"/>
      <c r="I8" s="47">
        <v>1.41</v>
      </c>
      <c r="J8" s="47">
        <v>24.0</v>
      </c>
      <c r="K8" s="44" t="s">
        <v>37</v>
      </c>
    </row>
    <row r="9">
      <c r="I9" s="47">
        <v>1.48</v>
      </c>
      <c r="J9" s="47">
        <v>23.0</v>
      </c>
      <c r="K9" s="44" t="s">
        <v>38</v>
      </c>
    </row>
    <row r="10">
      <c r="A10" s="86" t="s">
        <v>102</v>
      </c>
      <c r="B10" s="10"/>
      <c r="C10" s="10"/>
      <c r="D10" s="10"/>
      <c r="E10" s="10"/>
      <c r="F10" s="8"/>
      <c r="G10" s="87"/>
      <c r="H10" s="87"/>
      <c r="I10" s="64">
        <v>1.55</v>
      </c>
      <c r="J10" s="47">
        <v>22.0</v>
      </c>
      <c r="K10" s="44" t="s">
        <v>40</v>
      </c>
    </row>
    <row r="11" ht="16.5" customHeight="1">
      <c r="A11" s="88" t="s">
        <v>103</v>
      </c>
      <c r="B11" s="10"/>
      <c r="C11" s="10"/>
      <c r="D11" s="10"/>
      <c r="E11" s="10"/>
      <c r="F11" s="10"/>
      <c r="G11" s="10"/>
      <c r="H11" s="8"/>
      <c r="I11" s="64"/>
      <c r="J11" s="47"/>
    </row>
    <row r="12">
      <c r="A12" s="88" t="s">
        <v>104</v>
      </c>
      <c r="B12" s="10"/>
      <c r="C12" s="10"/>
      <c r="D12" s="10"/>
      <c r="E12" s="10"/>
      <c r="F12" s="10"/>
      <c r="G12" s="10"/>
      <c r="H12" s="8"/>
      <c r="I12" s="64"/>
      <c r="J12" s="47"/>
    </row>
    <row r="13" ht="50.25" customHeight="1">
      <c r="A13" s="89" t="s">
        <v>105</v>
      </c>
      <c r="B13" s="89" t="s">
        <v>106</v>
      </c>
      <c r="C13" s="90" t="s">
        <v>107</v>
      </c>
      <c r="D13" s="10"/>
      <c r="E13" s="8"/>
      <c r="F13" s="91" t="s">
        <v>108</v>
      </c>
      <c r="G13" s="8"/>
      <c r="H13" s="92" t="s">
        <v>48</v>
      </c>
      <c r="I13" s="64"/>
      <c r="J13" s="47"/>
    </row>
    <row r="14">
      <c r="A14" s="93"/>
      <c r="B14" s="93"/>
      <c r="C14" s="91"/>
      <c r="D14" s="10"/>
      <c r="E14" s="8"/>
      <c r="F14" s="91" t="s">
        <v>62</v>
      </c>
      <c r="G14" s="8"/>
      <c r="H14" s="92">
        <f t="array" ref="H14">IFS(F14="", "",F14="Organizer", 3, F14="Team Leader", 3, F14="Participant", 1.5, F14="Performer", 1.5)</f>
        <v>3</v>
      </c>
      <c r="I14" s="64" t="s">
        <v>62</v>
      </c>
      <c r="J14" s="47"/>
      <c r="K14" s="94">
        <f t="shared" ref="K14:K50" si="1">B14-A14</f>
        <v>0</v>
      </c>
      <c r="L14" s="44">
        <f>0.2*5</f>
        <v>1</v>
      </c>
    </row>
    <row r="15">
      <c r="A15" s="93"/>
      <c r="B15" s="93"/>
      <c r="C15" s="91"/>
      <c r="D15" s="10"/>
      <c r="E15" s="8"/>
      <c r="F15" s="91" t="s">
        <v>109</v>
      </c>
      <c r="G15" s="8"/>
      <c r="H15" s="92">
        <f t="array" ref="H15">IFS(F15="", "",F15="Organizer", 3, F15="Team Leader", 3, F15="Participant", 1.5, F15="Performer", 1.5)</f>
        <v>3</v>
      </c>
      <c r="I15" s="64" t="s">
        <v>109</v>
      </c>
      <c r="J15" s="47"/>
      <c r="K15" s="94">
        <f t="shared" si="1"/>
        <v>0</v>
      </c>
    </row>
    <row r="16">
      <c r="A16" s="93"/>
      <c r="B16" s="93"/>
      <c r="C16" s="91"/>
      <c r="D16" s="10"/>
      <c r="E16" s="8"/>
      <c r="F16" s="91" t="s">
        <v>62</v>
      </c>
      <c r="G16" s="8"/>
      <c r="H16" s="92">
        <f t="array" ref="H16">IFS(F16="", "",F16="Organizer", 3, F16="Team Leader", 3, F16="Participant", 1.5, F16="Performer", 1.5)</f>
        <v>3</v>
      </c>
      <c r="I16" s="64" t="s">
        <v>110</v>
      </c>
      <c r="J16" s="47"/>
      <c r="K16" s="94">
        <f t="shared" si="1"/>
        <v>0</v>
      </c>
    </row>
    <row r="17">
      <c r="A17" s="93"/>
      <c r="B17" s="93"/>
      <c r="C17" s="91"/>
      <c r="D17" s="10"/>
      <c r="E17" s="8"/>
      <c r="F17" s="91" t="s">
        <v>62</v>
      </c>
      <c r="G17" s="8"/>
      <c r="H17" s="92">
        <f t="array" ref="H17">IFS(F17="", "",F17="Organizer", 3, F17="Team Leader", 3, F17="Participant", 1.5, F17="Performer", 1.5)</f>
        <v>3</v>
      </c>
      <c r="I17" s="64" t="s">
        <v>111</v>
      </c>
      <c r="J17" s="47"/>
      <c r="K17" s="94">
        <f t="shared" si="1"/>
        <v>0</v>
      </c>
    </row>
    <row r="18">
      <c r="A18" s="93"/>
      <c r="B18" s="93"/>
      <c r="C18" s="91"/>
      <c r="D18" s="10"/>
      <c r="E18" s="8"/>
      <c r="F18" s="91" t="s">
        <v>62</v>
      </c>
      <c r="G18" s="8"/>
      <c r="H18" s="92">
        <f t="array" ref="H18">IFS(F18="", "",F18="Organizer", 3, F18="Team Leader", 3, F18="Participant", 1.5, F18="Performer", 1.5)</f>
        <v>3</v>
      </c>
      <c r="I18" s="64"/>
      <c r="J18" s="47"/>
      <c r="K18" s="94">
        <f t="shared" si="1"/>
        <v>0</v>
      </c>
    </row>
    <row r="19">
      <c r="A19" s="93"/>
      <c r="B19" s="93"/>
      <c r="C19" s="91"/>
      <c r="D19" s="10"/>
      <c r="E19" s="8"/>
      <c r="F19" s="91" t="s">
        <v>62</v>
      </c>
      <c r="G19" s="8"/>
      <c r="H19" s="92">
        <f t="array" ref="H19">IFS(F19="", "",F19="Organizer", 3, F19="Team Leader", 3, F19="Participant", 1.5, F19="Performer", 1.5)</f>
        <v>3</v>
      </c>
      <c r="I19" s="64"/>
      <c r="J19" s="47"/>
      <c r="K19" s="94">
        <f t="shared" si="1"/>
        <v>0</v>
      </c>
    </row>
    <row r="20">
      <c r="A20" s="93"/>
      <c r="B20" s="93"/>
      <c r="C20" s="91"/>
      <c r="D20" s="10"/>
      <c r="E20" s="8"/>
      <c r="F20" s="91" t="s">
        <v>62</v>
      </c>
      <c r="G20" s="8"/>
      <c r="H20" s="92">
        <f t="array" ref="H20">IFS(F20="", "",F20="Organizer", 3, F20="Team Leader", 3, F20="Participant", 1.5, F20="Performer", 1.5)</f>
        <v>3</v>
      </c>
      <c r="I20" s="64"/>
      <c r="J20" s="47"/>
      <c r="K20" s="94">
        <f t="shared" si="1"/>
        <v>0</v>
      </c>
    </row>
    <row r="21" ht="15.75" customHeight="1">
      <c r="A21" s="93"/>
      <c r="B21" s="93"/>
      <c r="C21" s="91"/>
      <c r="D21" s="10"/>
      <c r="E21" s="8"/>
      <c r="F21" s="91" t="s">
        <v>62</v>
      </c>
      <c r="G21" s="8"/>
      <c r="H21" s="92">
        <f t="array" ref="H21">IFS(F21="", "",F21="Organizer", 3, F21="Team Leader", 3, F21="Participant", 1.5, F21="Performer", 1.5)</f>
        <v>3</v>
      </c>
      <c r="I21" s="64"/>
      <c r="J21" s="47"/>
      <c r="K21" s="94">
        <f t="shared" si="1"/>
        <v>0</v>
      </c>
    </row>
    <row r="22" ht="15.75" customHeight="1">
      <c r="A22" s="93"/>
      <c r="B22" s="93"/>
      <c r="C22" s="91"/>
      <c r="D22" s="10"/>
      <c r="E22" s="8"/>
      <c r="F22" s="91" t="s">
        <v>62</v>
      </c>
      <c r="G22" s="8"/>
      <c r="H22" s="92">
        <f t="array" ref="H22">IFS(F22="", "",F22="Organizer", 3, F22="Team Leader", 3, F22="Participant", 1.5, F22="Performer", 1.5)</f>
        <v>3</v>
      </c>
      <c r="I22" s="64"/>
      <c r="J22" s="47"/>
      <c r="K22" s="94">
        <f t="shared" si="1"/>
        <v>0</v>
      </c>
    </row>
    <row r="23" ht="15.75" customHeight="1">
      <c r="A23" s="93"/>
      <c r="B23" s="93"/>
      <c r="C23" s="91"/>
      <c r="D23" s="10"/>
      <c r="E23" s="8"/>
      <c r="F23" s="91"/>
      <c r="G23" s="8"/>
      <c r="H23" s="92" t="str">
        <f t="array" ref="H23">IFS(F23="", "",F23="Organizer", 3, F23="Team Leader", 3, F23="Participant", 1.5, F23="Performer", 1.5)</f>
        <v/>
      </c>
      <c r="I23" s="64"/>
      <c r="J23" s="47"/>
      <c r="K23" s="94">
        <f t="shared" si="1"/>
        <v>0</v>
      </c>
    </row>
    <row r="24" ht="15.75" customHeight="1">
      <c r="A24" s="93"/>
      <c r="B24" s="93"/>
      <c r="C24" s="91"/>
      <c r="D24" s="10"/>
      <c r="E24" s="8"/>
      <c r="F24" s="91"/>
      <c r="G24" s="8"/>
      <c r="H24" s="92" t="str">
        <f t="array" ref="H24">IFS(F24="", "",F24="Organizer", 3, F24="Team Leader", 3, F24="Participant", 1.5, F24="Performer", 1.5)</f>
        <v/>
      </c>
      <c r="I24" s="64"/>
      <c r="J24" s="47"/>
      <c r="K24" s="94">
        <f t="shared" si="1"/>
        <v>0</v>
      </c>
    </row>
    <row r="25" ht="15.75" customHeight="1">
      <c r="A25" s="93"/>
      <c r="B25" s="93"/>
      <c r="C25" s="91"/>
      <c r="D25" s="10"/>
      <c r="E25" s="8"/>
      <c r="F25" s="91"/>
      <c r="G25" s="8"/>
      <c r="H25" s="92" t="str">
        <f t="array" ref="H25">IFS(F25="", "",F25="Organizer", 3, F25="Team Leader", 3, F25="Participant", 1.5, F25="Performer", 1.5)</f>
        <v/>
      </c>
      <c r="I25" s="64"/>
      <c r="J25" s="47"/>
      <c r="K25" s="94">
        <f t="shared" si="1"/>
        <v>0</v>
      </c>
    </row>
    <row r="26" ht="15.75" customHeight="1">
      <c r="A26" s="93"/>
      <c r="B26" s="93"/>
      <c r="C26" s="91"/>
      <c r="D26" s="10"/>
      <c r="E26" s="8"/>
      <c r="F26" s="91"/>
      <c r="G26" s="8"/>
      <c r="H26" s="92" t="str">
        <f t="array" ref="H26">IFS(F26="", "",F26="Organizer", 3, F26="Team Leader", 3, F26="Participant", 1.5, F26="Performer", 1.5)</f>
        <v/>
      </c>
      <c r="I26" s="64"/>
      <c r="J26" s="47"/>
      <c r="K26" s="94">
        <f t="shared" si="1"/>
        <v>0</v>
      </c>
    </row>
    <row r="27" ht="15.75" customHeight="1">
      <c r="A27" s="93"/>
      <c r="B27" s="93"/>
      <c r="C27" s="91"/>
      <c r="D27" s="10"/>
      <c r="E27" s="8"/>
      <c r="F27" s="91"/>
      <c r="G27" s="8"/>
      <c r="H27" s="92" t="str">
        <f t="array" ref="H27">IFS(F27="", "",F27="Organizer", 3, F27="Team Leader", 3, F27="Participant", 1.5, F27="Performer", 1.5)</f>
        <v/>
      </c>
      <c r="I27" s="64"/>
      <c r="J27" s="47"/>
      <c r="K27" s="94">
        <f t="shared" si="1"/>
        <v>0</v>
      </c>
    </row>
    <row r="28" ht="15.75" customHeight="1">
      <c r="A28" s="93"/>
      <c r="B28" s="93"/>
      <c r="C28" s="91"/>
      <c r="D28" s="10"/>
      <c r="E28" s="8"/>
      <c r="F28" s="91"/>
      <c r="G28" s="8"/>
      <c r="H28" s="92" t="str">
        <f t="array" ref="H28">IFS(F28="", "",F28="Organizer", 3, F28="Team Leader", 3, F28="Participant", 1.5, F28="Performer", 1.5)</f>
        <v/>
      </c>
      <c r="I28" s="64"/>
      <c r="J28" s="47"/>
      <c r="K28" s="94">
        <f t="shared" si="1"/>
        <v>0</v>
      </c>
    </row>
    <row r="29" ht="15.75" customHeight="1">
      <c r="A29" s="93"/>
      <c r="B29" s="93"/>
      <c r="C29" s="91"/>
      <c r="D29" s="10"/>
      <c r="E29" s="8"/>
      <c r="F29" s="91"/>
      <c r="G29" s="8"/>
      <c r="H29" s="92" t="str">
        <f t="array" ref="H29">IFS(F29="", "",F29="Organizer", 3, F29="Team Leader", 3, F29="Participant", 1.5, F29="Performer", 1.5)</f>
        <v/>
      </c>
      <c r="I29" s="64"/>
      <c r="J29" s="47"/>
      <c r="K29" s="94">
        <f t="shared" si="1"/>
        <v>0</v>
      </c>
    </row>
    <row r="30" ht="15.75" customHeight="1">
      <c r="A30" s="93"/>
      <c r="B30" s="93"/>
      <c r="C30" s="91"/>
      <c r="D30" s="10"/>
      <c r="E30" s="8"/>
      <c r="F30" s="91"/>
      <c r="G30" s="8"/>
      <c r="H30" s="92" t="str">
        <f t="array" ref="H30">IFS(F30="", "",F30="Organizer", 3, F30="Team Leader", 3, F30="Participant", 1.5, F30="Performer", 1.5)</f>
        <v/>
      </c>
      <c r="I30" s="64"/>
      <c r="J30" s="47"/>
      <c r="K30" s="94">
        <f t="shared" si="1"/>
        <v>0</v>
      </c>
    </row>
    <row r="31" ht="15.75" customHeight="1">
      <c r="A31" s="93"/>
      <c r="B31" s="93"/>
      <c r="C31" s="91"/>
      <c r="D31" s="10"/>
      <c r="E31" s="8"/>
      <c r="F31" s="91"/>
      <c r="G31" s="8"/>
      <c r="H31" s="92" t="str">
        <f t="array" ref="H31">IFS(F31="", "",F31="Organizer", 3, F31="Team Leader", 3, F31="Participant", 1.5, F31="Performer", 1.5)</f>
        <v/>
      </c>
      <c r="I31" s="64"/>
      <c r="J31" s="47"/>
      <c r="K31" s="94">
        <f t="shared" si="1"/>
        <v>0</v>
      </c>
    </row>
    <row r="32" ht="15.75" customHeight="1">
      <c r="A32" s="93"/>
      <c r="B32" s="93"/>
      <c r="C32" s="91"/>
      <c r="D32" s="10"/>
      <c r="E32" s="8"/>
      <c r="F32" s="91"/>
      <c r="G32" s="8"/>
      <c r="H32" s="92" t="str">
        <f t="array" ref="H32">IFS(F32="", "",F32="Organizer", 3, F32="Team Leader", 3, F32="Participant", 1.5, F32="Performer", 1.5)</f>
        <v/>
      </c>
      <c r="I32" s="64"/>
      <c r="J32" s="47"/>
      <c r="K32" s="94">
        <f t="shared" si="1"/>
        <v>0</v>
      </c>
    </row>
    <row r="33" ht="15.75" customHeight="1">
      <c r="A33" s="93"/>
      <c r="B33" s="93"/>
      <c r="C33" s="91"/>
      <c r="D33" s="10"/>
      <c r="E33" s="8"/>
      <c r="F33" s="91"/>
      <c r="G33" s="8"/>
      <c r="H33" s="92" t="str">
        <f t="array" ref="H33">IFS(F33="", "",F33="Organizer", 3, F33="Team Leader", 3, F33="Participant", 1.5, F33="Performer", 1.5)</f>
        <v/>
      </c>
      <c r="I33" s="64"/>
      <c r="J33" s="47"/>
      <c r="K33" s="94">
        <f t="shared" si="1"/>
        <v>0</v>
      </c>
    </row>
    <row r="34" ht="15.75" customHeight="1">
      <c r="A34" s="93"/>
      <c r="B34" s="93"/>
      <c r="C34" s="91"/>
      <c r="D34" s="10"/>
      <c r="E34" s="8"/>
      <c r="F34" s="91"/>
      <c r="G34" s="8"/>
      <c r="H34" s="92" t="str">
        <f t="array" ref="H34">IFS(F34="", "",F34="Organizer", 3, F34="Team Leader", 3, F34="Participant", 1.5, F34="Performer", 1.5)</f>
        <v/>
      </c>
      <c r="I34" s="64"/>
      <c r="J34" s="47"/>
      <c r="K34" s="94">
        <f t="shared" si="1"/>
        <v>0</v>
      </c>
    </row>
    <row r="35" ht="15.75" customHeight="1">
      <c r="A35" s="93"/>
      <c r="B35" s="93"/>
      <c r="C35" s="91"/>
      <c r="D35" s="10"/>
      <c r="E35" s="8"/>
      <c r="F35" s="91"/>
      <c r="G35" s="8"/>
      <c r="H35" s="92" t="str">
        <f t="array" ref="H35">IFS(F35="", "",F35="Organizer", 3, F35="Team Leader", 3, F35="Participant", 1.5, F35="Performer", 1.5)</f>
        <v/>
      </c>
      <c r="I35" s="64"/>
      <c r="J35" s="47"/>
      <c r="K35" s="94">
        <f t="shared" si="1"/>
        <v>0</v>
      </c>
    </row>
    <row r="36" ht="15.75" customHeight="1">
      <c r="A36" s="93"/>
      <c r="B36" s="93"/>
      <c r="C36" s="91"/>
      <c r="D36" s="10"/>
      <c r="E36" s="8"/>
      <c r="F36" s="91"/>
      <c r="G36" s="8"/>
      <c r="H36" s="92" t="str">
        <f t="array" ref="H36">IFS(F36="", "",F36="Organizer", 3, F36="Team Leader", 3, F36="Participant", 1.5, F36="Performer", 1.5)</f>
        <v/>
      </c>
      <c r="I36" s="64"/>
      <c r="J36" s="47"/>
      <c r="K36" s="94">
        <f t="shared" si="1"/>
        <v>0</v>
      </c>
    </row>
    <row r="37" ht="15.75" customHeight="1">
      <c r="A37" s="93"/>
      <c r="B37" s="93"/>
      <c r="C37" s="91"/>
      <c r="D37" s="10"/>
      <c r="E37" s="8"/>
      <c r="F37" s="91"/>
      <c r="G37" s="8"/>
      <c r="H37" s="92" t="str">
        <f t="array" ref="H37">IFS(F37="", "",F37="Organizer", 3, F37="Team Leader", 3, F37="Participant", 1.5, F37="Performer", 1.5)</f>
        <v/>
      </c>
      <c r="I37" s="64"/>
      <c r="J37" s="47"/>
      <c r="K37" s="94">
        <f t="shared" si="1"/>
        <v>0</v>
      </c>
    </row>
    <row r="38" ht="15.75" customHeight="1">
      <c r="A38" s="93"/>
      <c r="B38" s="93"/>
      <c r="C38" s="91"/>
      <c r="D38" s="10"/>
      <c r="E38" s="8"/>
      <c r="F38" s="91"/>
      <c r="G38" s="8"/>
      <c r="H38" s="92" t="str">
        <f t="array" ref="H38">IFS(F38="", "",F38="Organizer", 3, F38="Team Leader", 3, F38="Participant", 1.5, F38="Performer", 1.5)</f>
        <v/>
      </c>
      <c r="I38" s="64"/>
      <c r="J38" s="47"/>
      <c r="K38" s="94">
        <f t="shared" si="1"/>
        <v>0</v>
      </c>
    </row>
    <row r="39" ht="15.75" customHeight="1">
      <c r="A39" s="93"/>
      <c r="B39" s="93"/>
      <c r="C39" s="91"/>
      <c r="D39" s="10"/>
      <c r="E39" s="8"/>
      <c r="F39" s="91"/>
      <c r="G39" s="8"/>
      <c r="H39" s="92" t="str">
        <f t="array" ref="H39">IFS(F39="", "",F39="Organizer", 3, F39="Team Leader", 3, F39="Participant", 1.5, F39="Performer", 1.5)</f>
        <v/>
      </c>
      <c r="I39" s="64"/>
      <c r="J39" s="47"/>
      <c r="K39" s="94">
        <f t="shared" si="1"/>
        <v>0</v>
      </c>
    </row>
    <row r="40" ht="15.75" customHeight="1">
      <c r="A40" s="93"/>
      <c r="B40" s="93"/>
      <c r="C40" s="91"/>
      <c r="D40" s="10"/>
      <c r="E40" s="8"/>
      <c r="F40" s="91"/>
      <c r="G40" s="8"/>
      <c r="H40" s="92" t="str">
        <f t="array" ref="H40">IFS(F40="", "",F40="Organizer", 3, F40="Team Leader", 3, F40="Participant", 1.5, F40="Performer", 1.5)</f>
        <v/>
      </c>
      <c r="I40" s="64"/>
      <c r="J40" s="47"/>
      <c r="K40" s="94">
        <f t="shared" si="1"/>
        <v>0</v>
      </c>
    </row>
    <row r="41" ht="15.75" customHeight="1">
      <c r="A41" s="93"/>
      <c r="B41" s="93"/>
      <c r="C41" s="91"/>
      <c r="D41" s="10"/>
      <c r="E41" s="8"/>
      <c r="F41" s="91"/>
      <c r="G41" s="8"/>
      <c r="H41" s="92" t="str">
        <f t="array" ref="H41">IFS(F41="", "",F41="Organizer", 3, F41="Team Leader", 3, F41="Participant", 1.5, F41="Performer", 1.5)</f>
        <v/>
      </c>
      <c r="I41" s="64"/>
      <c r="J41" s="47"/>
      <c r="K41" s="94">
        <f t="shared" si="1"/>
        <v>0</v>
      </c>
    </row>
    <row r="42" ht="15.75" customHeight="1">
      <c r="A42" s="93"/>
      <c r="B42" s="93"/>
      <c r="C42" s="91"/>
      <c r="D42" s="10"/>
      <c r="E42" s="8"/>
      <c r="F42" s="91"/>
      <c r="G42" s="8"/>
      <c r="H42" s="92" t="str">
        <f t="array" ref="H42">IFS(F42="", "",F42="Organizer", 3, F42="Team Leader", 3, F42="Participant", 1.5, F42="Performer", 1.5)</f>
        <v/>
      </c>
      <c r="I42" s="64"/>
      <c r="J42" s="47"/>
      <c r="K42" s="94">
        <f t="shared" si="1"/>
        <v>0</v>
      </c>
    </row>
    <row r="43" ht="15.75" customHeight="1">
      <c r="A43" s="93"/>
      <c r="B43" s="93"/>
      <c r="C43" s="91"/>
      <c r="D43" s="10"/>
      <c r="E43" s="8"/>
      <c r="F43" s="91"/>
      <c r="G43" s="8"/>
      <c r="H43" s="92" t="str">
        <f t="array" ref="H43">IFS(F43="", "",F43="Organizer", 3, F43="Team Leader", 3, F43="Participant", 1.5, F43="Performer", 1.5)</f>
        <v/>
      </c>
      <c r="I43" s="64"/>
      <c r="J43" s="47"/>
      <c r="K43" s="94">
        <f t="shared" si="1"/>
        <v>0</v>
      </c>
    </row>
    <row r="44" ht="15.75" customHeight="1">
      <c r="A44" s="93"/>
      <c r="B44" s="93"/>
      <c r="C44" s="91"/>
      <c r="D44" s="10"/>
      <c r="E44" s="8"/>
      <c r="F44" s="91"/>
      <c r="G44" s="8"/>
      <c r="H44" s="92" t="str">
        <f t="array" ref="H44">IFS(F44="", "",F44="Organizer", 3, F44="Team Leader", 3, F44="Participant", 1.5, F44="Performer", 1.5)</f>
        <v/>
      </c>
      <c r="I44" s="64"/>
      <c r="J44" s="47"/>
      <c r="K44" s="94">
        <f t="shared" si="1"/>
        <v>0</v>
      </c>
    </row>
    <row r="45" ht="15.75" customHeight="1">
      <c r="A45" s="93"/>
      <c r="B45" s="93"/>
      <c r="C45" s="91"/>
      <c r="D45" s="10"/>
      <c r="E45" s="8"/>
      <c r="F45" s="91"/>
      <c r="G45" s="8"/>
      <c r="H45" s="92" t="str">
        <f t="array" ref="H45">IFS(F45="", "",F45="Organizer", 3, F45="Team Leader", 3, F45="Participant", 1.5, F45="Performer", 1.5)</f>
        <v/>
      </c>
      <c r="I45" s="64"/>
      <c r="J45" s="47"/>
      <c r="K45" s="94">
        <f t="shared" si="1"/>
        <v>0</v>
      </c>
    </row>
    <row r="46" ht="15.75" customHeight="1">
      <c r="A46" s="93"/>
      <c r="B46" s="93"/>
      <c r="C46" s="91"/>
      <c r="D46" s="10"/>
      <c r="E46" s="8"/>
      <c r="F46" s="91"/>
      <c r="G46" s="8"/>
      <c r="H46" s="92" t="str">
        <f t="array" ref="H46">IFS(F46="", "",F46="Organizer", 3, F46="Team Leader", 3, F46="Participant", 1.5, F46="Performer", 1.5)</f>
        <v/>
      </c>
      <c r="I46" s="64"/>
      <c r="J46" s="47"/>
      <c r="K46" s="94">
        <f t="shared" si="1"/>
        <v>0</v>
      </c>
    </row>
    <row r="47" ht="15.75" customHeight="1">
      <c r="A47" s="93"/>
      <c r="B47" s="93"/>
      <c r="C47" s="91"/>
      <c r="D47" s="10"/>
      <c r="E47" s="8"/>
      <c r="F47" s="91"/>
      <c r="G47" s="8"/>
      <c r="H47" s="92" t="str">
        <f t="array" ref="H47">IFS(F47="", "",F47="Organizer", 3, F47="Team Leader", 3, F47="Participant", 1.5, F47="Performer", 1.5)</f>
        <v/>
      </c>
      <c r="I47" s="64"/>
      <c r="J47" s="47"/>
      <c r="K47" s="94">
        <f t="shared" si="1"/>
        <v>0</v>
      </c>
    </row>
    <row r="48" ht="15.75" customHeight="1">
      <c r="A48" s="93"/>
      <c r="B48" s="93"/>
      <c r="C48" s="91"/>
      <c r="D48" s="10"/>
      <c r="E48" s="8"/>
      <c r="F48" s="91"/>
      <c r="G48" s="8"/>
      <c r="H48" s="92" t="str">
        <f t="array" ref="H48">IFS(F48="", "",F48="Organizer", 3, F48="Team Leader", 3, F48="Participant", 1.5, F48="Performer", 1.5)</f>
        <v/>
      </c>
      <c r="I48" s="64"/>
      <c r="J48" s="47"/>
      <c r="K48" s="94">
        <f t="shared" si="1"/>
        <v>0</v>
      </c>
    </row>
    <row r="49" ht="15.75" customHeight="1">
      <c r="A49" s="93"/>
      <c r="B49" s="93"/>
      <c r="C49" s="91"/>
      <c r="D49" s="10"/>
      <c r="E49" s="8"/>
      <c r="F49" s="91"/>
      <c r="G49" s="8"/>
      <c r="H49" s="92" t="str">
        <f t="array" ref="H49">IFS(F49="", "",F49="Organizer", 3, F49="Team Leader", 3, F49="Participant", 1.5, F49="Performer", 1.5)</f>
        <v/>
      </c>
      <c r="I49" s="64"/>
      <c r="J49" s="47"/>
      <c r="K49" s="94">
        <f t="shared" si="1"/>
        <v>0</v>
      </c>
    </row>
    <row r="50" ht="15.75" customHeight="1">
      <c r="A50" s="93"/>
      <c r="B50" s="93"/>
      <c r="C50" s="91"/>
      <c r="D50" s="10"/>
      <c r="E50" s="8"/>
      <c r="F50" s="91"/>
      <c r="G50" s="8"/>
      <c r="H50" s="92" t="str">
        <f t="array" ref="H50">IFS(F50="", "",F50="Organizer", 3, F50="Team Leader", 3, F50="Participant", 1.5, F50="Performer", 1.5)</f>
        <v/>
      </c>
      <c r="I50" s="64"/>
      <c r="J50" s="47"/>
      <c r="K50" s="94">
        <f t="shared" si="1"/>
        <v>0</v>
      </c>
    </row>
    <row r="51" ht="15.0" customHeight="1">
      <c r="A51" s="95" t="s">
        <v>49</v>
      </c>
      <c r="B51" s="10"/>
      <c r="C51" s="10"/>
      <c r="D51" s="10"/>
      <c r="E51" s="10"/>
      <c r="F51" s="10"/>
      <c r="G51" s="8"/>
      <c r="H51" s="89">
        <f>SUM(H14:H50)</f>
        <v>27</v>
      </c>
      <c r="I51" s="96"/>
      <c r="J51" s="96"/>
      <c r="K51" s="96"/>
      <c r="L51" s="96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6.5" customHeight="1">
      <c r="A52" s="88" t="s">
        <v>112</v>
      </c>
      <c r="B52" s="10"/>
      <c r="C52" s="10"/>
      <c r="D52" s="10"/>
      <c r="E52" s="10"/>
      <c r="F52" s="10"/>
      <c r="G52" s="10"/>
      <c r="H52" s="8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50.25" customHeight="1">
      <c r="A53" s="89" t="s">
        <v>113</v>
      </c>
      <c r="B53" s="89" t="s">
        <v>106</v>
      </c>
      <c r="C53" s="90" t="s">
        <v>107</v>
      </c>
      <c r="D53" s="10"/>
      <c r="E53" s="8"/>
      <c r="F53" s="91" t="s">
        <v>108</v>
      </c>
      <c r="G53" s="8"/>
      <c r="H53" s="92" t="s">
        <v>48</v>
      </c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5.0" customHeight="1">
      <c r="A54" s="93"/>
      <c r="B54" s="93"/>
      <c r="C54" s="91"/>
      <c r="D54" s="10"/>
      <c r="E54" s="8"/>
      <c r="F54" s="91" t="s">
        <v>62</v>
      </c>
      <c r="G54" s="8"/>
      <c r="H54" s="92">
        <f t="array" ref="H54">IFS(F54="", "",F54="Organizer", 2, F54="Team Leader", 2, F54="Participant", 1, F54="Performer", 1)</f>
        <v>2</v>
      </c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0" customHeight="1">
      <c r="A55" s="93"/>
      <c r="B55" s="93"/>
      <c r="C55" s="91"/>
      <c r="D55" s="10"/>
      <c r="E55" s="8"/>
      <c r="F55" s="91" t="s">
        <v>109</v>
      </c>
      <c r="G55" s="8"/>
      <c r="H55" s="92">
        <f t="array" ref="H55">IFS(F55="", "",F55="Organizer", 2, F55="Team Leader", 2, F55="Participant", 1, F55="Performer", 1)</f>
        <v>2</v>
      </c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0" customHeight="1">
      <c r="A56" s="93"/>
      <c r="B56" s="93"/>
      <c r="C56" s="91"/>
      <c r="D56" s="10"/>
      <c r="E56" s="8"/>
      <c r="F56" s="91" t="s">
        <v>62</v>
      </c>
      <c r="G56" s="8"/>
      <c r="H56" s="92">
        <f t="array" ref="H56">IFS(F56="", "",F56="Organizer", 2, F56="Team Leader", 2, F56="Participant", 1, F56="Performer", 1)</f>
        <v>2</v>
      </c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0" customHeight="1">
      <c r="A57" s="93"/>
      <c r="B57" s="93"/>
      <c r="C57" s="91"/>
      <c r="D57" s="10"/>
      <c r="E57" s="8"/>
      <c r="F57" s="91"/>
      <c r="G57" s="8"/>
      <c r="H57" s="92" t="str">
        <f t="array" ref="H57">IFS(F57="", "",F57="Organizer", 2, F57="Team Leader", 2, F57="Participant", 1, F57="Performer", 1)</f>
        <v/>
      </c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0" customHeight="1">
      <c r="A58" s="93"/>
      <c r="B58" s="93"/>
      <c r="C58" s="91"/>
      <c r="D58" s="10"/>
      <c r="E58" s="8"/>
      <c r="F58" s="91"/>
      <c r="G58" s="8"/>
      <c r="H58" s="92" t="str">
        <f t="array" ref="H58">IFS(F58="", "",F58="Organizer", 2, F58="Team Leader", 2, F58="Participant", 1, F58="Performer", 1)</f>
        <v/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0" customHeight="1">
      <c r="A59" s="93"/>
      <c r="B59" s="93"/>
      <c r="C59" s="91"/>
      <c r="D59" s="10"/>
      <c r="E59" s="8"/>
      <c r="F59" s="91"/>
      <c r="G59" s="8"/>
      <c r="H59" s="92" t="str">
        <f t="array" ref="H59">IFS(F59="", "",F59="Organizer", 2, F59="Team Leader", 2, F59="Participant", 1, F59="Performer", 1)</f>
        <v/>
      </c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5.0" customHeight="1">
      <c r="A60" s="93"/>
      <c r="B60" s="93"/>
      <c r="C60" s="91"/>
      <c r="D60" s="10"/>
      <c r="E60" s="8"/>
      <c r="F60" s="91"/>
      <c r="G60" s="8"/>
      <c r="H60" s="92" t="str">
        <f t="array" ref="H60">IFS(F60="", "",F60="Organizer", 2, F60="Team Leader", 2, F60="Participant", 1, F60="Performer", 1)</f>
        <v/>
      </c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5.0" customHeight="1">
      <c r="A61" s="93"/>
      <c r="B61" s="93"/>
      <c r="C61" s="91"/>
      <c r="D61" s="10"/>
      <c r="E61" s="8"/>
      <c r="F61" s="91"/>
      <c r="G61" s="8"/>
      <c r="H61" s="92" t="str">
        <f t="array" ref="H61">IFS(F61="", "",F61="Organizer", 2, F61="Team Leader", 2, F61="Participant", 1, F61="Performer", 1)</f>
        <v/>
      </c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5.0" customHeight="1">
      <c r="A62" s="93"/>
      <c r="B62" s="93"/>
      <c r="C62" s="91"/>
      <c r="D62" s="10"/>
      <c r="E62" s="8"/>
      <c r="F62" s="91"/>
      <c r="G62" s="8"/>
      <c r="H62" s="92" t="str">
        <f t="array" ref="H62">IFS(F62="", "",F62="Organizer", 2, F62="Team Leader", 2, F62="Participant", 1, F62="Performer", 1)</f>
        <v/>
      </c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5.0" customHeight="1">
      <c r="A63" s="93"/>
      <c r="B63" s="93"/>
      <c r="C63" s="91"/>
      <c r="D63" s="10"/>
      <c r="E63" s="8"/>
      <c r="F63" s="91"/>
      <c r="G63" s="8"/>
      <c r="H63" s="92" t="str">
        <f t="array" ref="H63">IFS(F63="", "",F63="Organizer", 2, F63="Team Leader", 2, F63="Participant", 1, F63="Performer", 1)</f>
        <v/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5.0" customHeight="1">
      <c r="A64" s="93"/>
      <c r="B64" s="93"/>
      <c r="C64" s="91"/>
      <c r="D64" s="10"/>
      <c r="E64" s="8"/>
      <c r="F64" s="91"/>
      <c r="G64" s="8"/>
      <c r="H64" s="92" t="str">
        <f t="array" ref="H64">IFS(F64="", "",F64="Organizer", 2, F64="Team Leader", 2, F64="Participant", 1, F64="Performer", 1)</f>
        <v/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5.0" customHeight="1">
      <c r="A65" s="93"/>
      <c r="B65" s="93"/>
      <c r="C65" s="91"/>
      <c r="D65" s="10"/>
      <c r="E65" s="8"/>
      <c r="F65" s="91"/>
      <c r="G65" s="8"/>
      <c r="H65" s="92" t="str">
        <f t="array" ref="H65">IFS(F65="", "",F65="Organizer", 2, F65="Team Leader", 2, F65="Participant", 1, F65="Performer", 1)</f>
        <v/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5.0" customHeight="1">
      <c r="A66" s="93"/>
      <c r="B66" s="93"/>
      <c r="C66" s="91"/>
      <c r="D66" s="10"/>
      <c r="E66" s="8"/>
      <c r="F66" s="91"/>
      <c r="G66" s="8"/>
      <c r="H66" s="92" t="str">
        <f t="array" ref="H66">IFS(F66="", "",F66="Organizer", 2, F66="Team Leader", 2, F66="Participant", 1, F66="Performer", 1)</f>
        <v/>
      </c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5.0" customHeight="1">
      <c r="A67" s="93"/>
      <c r="B67" s="93"/>
      <c r="C67" s="91"/>
      <c r="D67" s="10"/>
      <c r="E67" s="8"/>
      <c r="F67" s="91"/>
      <c r="G67" s="8"/>
      <c r="H67" s="92" t="str">
        <f t="array" ref="H67">IFS(F67="", "",F67="Organizer", 2, F67="Team Leader", 2, F67="Participant", 1, F67="Performer", 1)</f>
        <v/>
      </c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5.0" customHeight="1">
      <c r="A68" s="93"/>
      <c r="B68" s="93"/>
      <c r="C68" s="91"/>
      <c r="D68" s="10"/>
      <c r="E68" s="8"/>
      <c r="F68" s="91"/>
      <c r="G68" s="8"/>
      <c r="H68" s="92" t="str">
        <f t="array" ref="H68">IFS(F68="", "",F68="Organizer", 2, F68="Team Leader", 2, F68="Participant", 1, F68="Performer", 1)</f>
        <v/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5.0" customHeight="1">
      <c r="A69" s="93"/>
      <c r="B69" s="93"/>
      <c r="C69" s="91"/>
      <c r="D69" s="10"/>
      <c r="E69" s="8"/>
      <c r="F69" s="91"/>
      <c r="G69" s="8"/>
      <c r="H69" s="92" t="str">
        <f t="array" ref="H69">IFS(F69="", "",F69="Organizer", 2, F69="Team Leader", 2, F69="Participant", 1, F69="Performer", 1)</f>
        <v/>
      </c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5.0" customHeight="1">
      <c r="A70" s="93"/>
      <c r="B70" s="93"/>
      <c r="C70" s="91"/>
      <c r="D70" s="10"/>
      <c r="E70" s="8"/>
      <c r="F70" s="91"/>
      <c r="G70" s="8"/>
      <c r="H70" s="92" t="str">
        <f t="array" ref="H70">IFS(F70="", "",F70="Organizer", 2, F70="Team Leader", 2, F70="Participant", 1, F70="Performer", 1)</f>
        <v/>
      </c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5.0" customHeight="1">
      <c r="A71" s="93"/>
      <c r="B71" s="93"/>
      <c r="C71" s="91"/>
      <c r="D71" s="10"/>
      <c r="E71" s="8"/>
      <c r="F71" s="91"/>
      <c r="G71" s="8"/>
      <c r="H71" s="92" t="str">
        <f t="array" ref="H71">IFS(F71="", "",F71="Organizer", 2, F71="Team Leader", 2, F71="Participant", 1, F71="Performer", 1)</f>
        <v/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5.0" customHeight="1">
      <c r="A72" s="93"/>
      <c r="B72" s="93"/>
      <c r="C72" s="91"/>
      <c r="D72" s="10"/>
      <c r="E72" s="8"/>
      <c r="F72" s="91"/>
      <c r="G72" s="8"/>
      <c r="H72" s="92" t="str">
        <f t="array" ref="H72">IFS(F72="", "",F72="Organizer", 2, F72="Team Leader", 2, F72="Participant", 1, F72="Performer", 1)</f>
        <v/>
      </c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5.0" customHeight="1">
      <c r="A73" s="93"/>
      <c r="B73" s="93"/>
      <c r="C73" s="91"/>
      <c r="D73" s="10"/>
      <c r="E73" s="8"/>
      <c r="F73" s="91"/>
      <c r="G73" s="8"/>
      <c r="H73" s="92" t="str">
        <f t="array" ref="H73">IFS(F73="", "",F73="Organizer", 2, F73="Team Leader", 2, F73="Participant", 1, F73="Performer", 1)</f>
        <v/>
      </c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5.0" customHeight="1">
      <c r="A74" s="93"/>
      <c r="B74" s="93"/>
      <c r="C74" s="91"/>
      <c r="D74" s="10"/>
      <c r="E74" s="8"/>
      <c r="F74" s="91"/>
      <c r="G74" s="8"/>
      <c r="H74" s="92" t="str">
        <f t="array" ref="H74">IFS(F74="", "",F74="Organizer", 2, F74="Team Leader", 2, F74="Participant", 1, F74="Performer", 1)</f>
        <v/>
      </c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5.0" customHeight="1">
      <c r="A75" s="93"/>
      <c r="B75" s="93"/>
      <c r="C75" s="91"/>
      <c r="D75" s="10"/>
      <c r="E75" s="8"/>
      <c r="F75" s="91"/>
      <c r="G75" s="8"/>
      <c r="H75" s="92" t="str">
        <f t="array" ref="H75">IFS(F75="", "",F75="Organizer", 2, F75="Team Leader", 2, F75="Participant", 1, F75="Performer", 1)</f>
        <v/>
      </c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5.0" customHeight="1">
      <c r="A76" s="93"/>
      <c r="B76" s="93"/>
      <c r="C76" s="91"/>
      <c r="D76" s="10"/>
      <c r="E76" s="8"/>
      <c r="F76" s="91"/>
      <c r="G76" s="8"/>
      <c r="H76" s="92" t="str">
        <f t="array" ref="H76">IFS(F76="", "",F76="Organizer", 2, F76="Team Leader", 2, F76="Participant", 1, F76="Performer", 1)</f>
        <v/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5.0" customHeight="1">
      <c r="A77" s="93"/>
      <c r="B77" s="93"/>
      <c r="C77" s="91"/>
      <c r="D77" s="10"/>
      <c r="E77" s="8"/>
      <c r="F77" s="91"/>
      <c r="G77" s="8"/>
      <c r="H77" s="92" t="str">
        <f t="array" ref="H77">IFS(F77="", "",F77="Organizer", 2, F77="Team Leader", 2, F77="Participant", 1, F77="Performer", 1)</f>
        <v/>
      </c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0" customHeight="1">
      <c r="A78" s="93"/>
      <c r="B78" s="93"/>
      <c r="C78" s="91"/>
      <c r="D78" s="10"/>
      <c r="E78" s="8"/>
      <c r="F78" s="91"/>
      <c r="G78" s="8"/>
      <c r="H78" s="92" t="str">
        <f t="array" ref="H78">IFS(F78="", "",F78="Organizer", 2, F78="Team Leader", 2, F78="Participant", 1, F78="Performer", 1)</f>
        <v/>
      </c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5.0" customHeight="1">
      <c r="A79" s="93"/>
      <c r="B79" s="93"/>
      <c r="C79" s="91"/>
      <c r="D79" s="10"/>
      <c r="E79" s="8"/>
      <c r="F79" s="91"/>
      <c r="G79" s="8"/>
      <c r="H79" s="92" t="str">
        <f t="array" ref="H79">IFS(F79="", "",F79="Organizer", 2, F79="Team Leader", 2, F79="Participant", 1, F79="Performer", 1)</f>
        <v/>
      </c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5.0" customHeight="1">
      <c r="A80" s="93"/>
      <c r="B80" s="93"/>
      <c r="C80" s="91"/>
      <c r="D80" s="10"/>
      <c r="E80" s="8"/>
      <c r="F80" s="91"/>
      <c r="G80" s="8"/>
      <c r="H80" s="92" t="str">
        <f t="array" ref="H80">IFS(F80="", "",F80="Organizer", 2, F80="Team Leader", 2, F80="Participant", 1, F80="Performer", 1)</f>
        <v/>
      </c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5.0" customHeight="1">
      <c r="A81" s="93"/>
      <c r="B81" s="93"/>
      <c r="C81" s="91"/>
      <c r="D81" s="10"/>
      <c r="E81" s="8"/>
      <c r="F81" s="91"/>
      <c r="G81" s="8"/>
      <c r="H81" s="92" t="str">
        <f t="array" ref="H81">IFS(F81="", "",F81="Organizer", 2, F81="Team Leader", 2, F81="Participant", 1, F81="Performer", 1)</f>
        <v/>
      </c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5.0" customHeight="1">
      <c r="A82" s="93"/>
      <c r="B82" s="93"/>
      <c r="C82" s="91"/>
      <c r="D82" s="10"/>
      <c r="E82" s="8"/>
      <c r="F82" s="91"/>
      <c r="G82" s="8"/>
      <c r="H82" s="92" t="str">
        <f t="array" ref="H82">IFS(F82="", "",F82="Organizer", 2, F82="Team Leader", 2, F82="Participant", 1, F82="Performer", 1)</f>
        <v/>
      </c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5.0" customHeight="1">
      <c r="A83" s="93"/>
      <c r="B83" s="93"/>
      <c r="C83" s="91"/>
      <c r="D83" s="10"/>
      <c r="E83" s="8"/>
      <c r="F83" s="91"/>
      <c r="G83" s="8"/>
      <c r="H83" s="92" t="str">
        <f t="array" ref="H83">IFS(F83="", "",F83="Organizer", 2, F83="Team Leader", 2, F83="Participant", 1, F83="Performer", 1)</f>
        <v/>
      </c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5.0" customHeight="1">
      <c r="A84" s="93"/>
      <c r="B84" s="93"/>
      <c r="C84" s="91"/>
      <c r="D84" s="10"/>
      <c r="E84" s="8"/>
      <c r="F84" s="91"/>
      <c r="G84" s="8"/>
      <c r="H84" s="92" t="str">
        <f t="array" ref="H84">IFS(F84="", "",F84="Organizer", 2, F84="Team Leader", 2, F84="Participant", 1, F84="Performer", 1)</f>
        <v/>
      </c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5.0" customHeight="1">
      <c r="A85" s="93"/>
      <c r="B85" s="93"/>
      <c r="C85" s="91"/>
      <c r="D85" s="10"/>
      <c r="E85" s="8"/>
      <c r="F85" s="91"/>
      <c r="G85" s="8"/>
      <c r="H85" s="92" t="str">
        <f t="array" ref="H85">IFS(F85="", "",F85="Organizer", 2, F85="Team Leader", 2, F85="Participant", 1, F85="Performer", 1)</f>
        <v/>
      </c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5.0" customHeight="1">
      <c r="A86" s="93"/>
      <c r="B86" s="93"/>
      <c r="C86" s="91"/>
      <c r="D86" s="10"/>
      <c r="E86" s="8"/>
      <c r="F86" s="91"/>
      <c r="G86" s="8"/>
      <c r="H86" s="92" t="str">
        <f t="array" ref="H86">IFS(F86="", "",F86="Organizer", 2, F86="Team Leader", 2, F86="Participant", 1, F86="Performer", 1)</f>
        <v/>
      </c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5.0" customHeight="1">
      <c r="A87" s="93"/>
      <c r="B87" s="93"/>
      <c r="C87" s="91"/>
      <c r="D87" s="10"/>
      <c r="E87" s="8"/>
      <c r="F87" s="91"/>
      <c r="G87" s="8"/>
      <c r="H87" s="92" t="str">
        <f t="array" ref="H87">IFS(F87="", "",F87="Organizer", 2, F87="Team Leader", 2, F87="Participant", 1, F87="Performer", 1)</f>
        <v/>
      </c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5.0" customHeight="1">
      <c r="A88" s="93"/>
      <c r="B88" s="93"/>
      <c r="C88" s="91"/>
      <c r="D88" s="10"/>
      <c r="E88" s="8"/>
      <c r="F88" s="91"/>
      <c r="G88" s="8"/>
      <c r="H88" s="92" t="str">
        <f t="array" ref="H88">IFS(F88="", "",F88="Organizer", 2, F88="Team Leader", 2, F88="Participant", 1, F88="Performer", 1)</f>
        <v/>
      </c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5.0" customHeight="1">
      <c r="A89" s="93"/>
      <c r="B89" s="93"/>
      <c r="C89" s="91"/>
      <c r="D89" s="10"/>
      <c r="E89" s="8"/>
      <c r="F89" s="91"/>
      <c r="G89" s="8"/>
      <c r="H89" s="92" t="str">
        <f t="array" ref="H89">IFS(F89="", "",F89="Organizer", 2, F89="Team Leader", 2, F89="Participant", 1, F89="Performer", 1)</f>
        <v/>
      </c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5.0" customHeight="1">
      <c r="A90" s="93"/>
      <c r="B90" s="93"/>
      <c r="C90" s="91"/>
      <c r="D90" s="10"/>
      <c r="E90" s="8"/>
      <c r="F90" s="91"/>
      <c r="G90" s="8"/>
      <c r="H90" s="92" t="str">
        <f t="array" ref="H90">IFS(F90="", "",F90="Organizer", 2, F90="Team Leader", 2, F90="Participant", 1, F90="Performer", 1)</f>
        <v/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5.0" customHeight="1">
      <c r="A91" s="93"/>
      <c r="B91" s="93"/>
      <c r="C91" s="91"/>
      <c r="D91" s="10"/>
      <c r="E91" s="8"/>
      <c r="F91" s="91"/>
      <c r="G91" s="8"/>
      <c r="H91" s="92" t="str">
        <f t="array" ref="H91">IFS(F91="", "",F91="Organizer", 2, F91="Team Leader", 2, F91="Participant", 1, F91="Performer", 1)</f>
        <v/>
      </c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5.0" customHeight="1">
      <c r="A92" s="93"/>
      <c r="B92" s="93"/>
      <c r="C92" s="91"/>
      <c r="D92" s="10"/>
      <c r="E92" s="8"/>
      <c r="F92" s="91"/>
      <c r="G92" s="8"/>
      <c r="H92" s="92" t="str">
        <f t="array" ref="H92">IFS(F92="", "",F92="Organizer", 2, F92="Team Leader", 2, F92="Participant", 1, F92="Performer", 1)</f>
        <v/>
      </c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5.0" customHeight="1">
      <c r="A93" s="93"/>
      <c r="B93" s="93"/>
      <c r="C93" s="91"/>
      <c r="D93" s="10"/>
      <c r="E93" s="8"/>
      <c r="F93" s="91"/>
      <c r="G93" s="8"/>
      <c r="H93" s="92" t="str">
        <f t="array" ref="H93">IFS(F93="", "",F93="Organizer", 2, F93="Team Leader", 2, F93="Participant", 1, F93="Performer", 1)</f>
        <v/>
      </c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5.0" customHeight="1">
      <c r="A94" s="93"/>
      <c r="B94" s="93"/>
      <c r="C94" s="91"/>
      <c r="D94" s="10"/>
      <c r="E94" s="8"/>
      <c r="F94" s="91"/>
      <c r="G94" s="8"/>
      <c r="H94" s="92" t="str">
        <f t="array" ref="H94">IFS(F94="", "",F94="Organizer", 2, F94="Team Leader", 2, F94="Participant", 1, F94="Performer", 1)</f>
        <v/>
      </c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5.0" customHeight="1">
      <c r="A95" s="93"/>
      <c r="B95" s="93"/>
      <c r="C95" s="91"/>
      <c r="D95" s="10"/>
      <c r="E95" s="8"/>
      <c r="F95" s="91"/>
      <c r="G95" s="8"/>
      <c r="H95" s="92" t="str">
        <f t="array" ref="H95">IFS(F95="", "",F95="Organizer", 2, F95="Team Leader", 2, F95="Participant", 1, F95="Performer", 1)</f>
        <v/>
      </c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5.0" customHeight="1">
      <c r="A96" s="93"/>
      <c r="B96" s="93"/>
      <c r="C96" s="91"/>
      <c r="D96" s="10"/>
      <c r="E96" s="8"/>
      <c r="F96" s="91"/>
      <c r="G96" s="8"/>
      <c r="H96" s="92" t="str">
        <f t="array" ref="H96">IFS(F96="", "",F96="Organizer", 2, F96="Team Leader", 2, F96="Participant", 1, F96="Performer", 1)</f>
        <v/>
      </c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5.0" customHeight="1">
      <c r="A97" s="93"/>
      <c r="B97" s="93"/>
      <c r="C97" s="91"/>
      <c r="D97" s="10"/>
      <c r="E97" s="8"/>
      <c r="F97" s="91"/>
      <c r="G97" s="8"/>
      <c r="H97" s="92" t="str">
        <f t="array" ref="H97">IFS(F97="", "",F97="Organizer", 2, F97="Team Leader", 2, F97="Participant", 1, F97="Performer", 1)</f>
        <v/>
      </c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5.0" customHeight="1">
      <c r="A98" s="93"/>
      <c r="B98" s="93"/>
      <c r="C98" s="91"/>
      <c r="D98" s="10"/>
      <c r="E98" s="8"/>
      <c r="F98" s="91"/>
      <c r="G98" s="8"/>
      <c r="H98" s="92" t="str">
        <f t="array" ref="H98">IFS(F98="", "",F98="Organizer", 2, F98="Team Leader", 2, F98="Participant", 1, F98="Performer", 1)</f>
        <v/>
      </c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5.0" customHeight="1">
      <c r="A99" s="93"/>
      <c r="B99" s="93"/>
      <c r="C99" s="91"/>
      <c r="D99" s="10"/>
      <c r="E99" s="8"/>
      <c r="F99" s="91"/>
      <c r="G99" s="8"/>
      <c r="H99" s="92" t="str">
        <f t="array" ref="H99">IFS(F99="", "",F99="Organizer", 2, F99="Team Leader", 2, F99="Participant", 1, F99="Performer", 1)</f>
        <v/>
      </c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5.0" customHeight="1">
      <c r="A100" s="93"/>
      <c r="B100" s="93"/>
      <c r="C100" s="91"/>
      <c r="D100" s="10"/>
      <c r="E100" s="8"/>
      <c r="F100" s="91"/>
      <c r="G100" s="8"/>
      <c r="H100" s="92" t="str">
        <f t="array" ref="H100">IFS(F100="", "",F100="Organizer", 2, F100="Team Leader", 2, F100="Participant", 1, F100="Performer", 1)</f>
        <v/>
      </c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5.0" customHeight="1">
      <c r="A101" s="93"/>
      <c r="B101" s="93"/>
      <c r="C101" s="91"/>
      <c r="D101" s="10"/>
      <c r="E101" s="8"/>
      <c r="F101" s="91"/>
      <c r="G101" s="8"/>
      <c r="H101" s="92" t="str">
        <f t="array" ref="H101">IFS(F101="", "",F101="Organizer", 2, F101="Team Leader", 2, F101="Participant", 1, F101="Performer", 1)</f>
        <v/>
      </c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5.0" customHeight="1">
      <c r="A102" s="93"/>
      <c r="B102" s="93"/>
      <c r="C102" s="91"/>
      <c r="D102" s="10"/>
      <c r="E102" s="8"/>
      <c r="F102" s="91"/>
      <c r="G102" s="8"/>
      <c r="H102" s="92" t="str">
        <f t="array" ref="H102">IFS(F102="", "",F102="Organizer", 2, F102="Team Leader", 2, F102="Participant", 1, F102="Performer", 1)</f>
        <v/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5.0" customHeight="1">
      <c r="A103" s="93"/>
      <c r="B103" s="93"/>
      <c r="C103" s="91"/>
      <c r="D103" s="10"/>
      <c r="E103" s="8"/>
      <c r="F103" s="91"/>
      <c r="G103" s="8"/>
      <c r="H103" s="92" t="str">
        <f t="array" ref="H103">IFS(F103="", "",F103="Organizer", 2, F103="Team Leader", 2, F103="Participant", 1, F103="Performer", 1)</f>
        <v/>
      </c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5.0" customHeight="1">
      <c r="A104" s="95" t="s">
        <v>49</v>
      </c>
      <c r="B104" s="10"/>
      <c r="C104" s="10"/>
      <c r="D104" s="10"/>
      <c r="E104" s="10"/>
      <c r="F104" s="10"/>
      <c r="G104" s="8"/>
      <c r="H104" s="89">
        <f>SUM(H54:H103)</f>
        <v>6</v>
      </c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5.0" customHeight="1">
      <c r="A105" s="88" t="s">
        <v>114</v>
      </c>
      <c r="B105" s="10"/>
      <c r="C105" s="10"/>
      <c r="D105" s="10"/>
      <c r="E105" s="10"/>
      <c r="F105" s="10"/>
      <c r="G105" s="10"/>
      <c r="H105" s="8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50.25" customHeight="1">
      <c r="A106" s="89" t="s">
        <v>115</v>
      </c>
      <c r="B106" s="89" t="s">
        <v>106</v>
      </c>
      <c r="C106" s="90" t="s">
        <v>107</v>
      </c>
      <c r="D106" s="10"/>
      <c r="E106" s="8"/>
      <c r="F106" s="91" t="s">
        <v>108</v>
      </c>
      <c r="G106" s="8"/>
      <c r="H106" s="92" t="s">
        <v>48</v>
      </c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5.0" customHeight="1">
      <c r="A107" s="93"/>
      <c r="B107" s="93"/>
      <c r="C107" s="91"/>
      <c r="D107" s="10"/>
      <c r="E107" s="8"/>
      <c r="F107" s="91" t="s">
        <v>62</v>
      </c>
      <c r="G107" s="8"/>
      <c r="H107" s="92">
        <f t="array" ref="H107">IFS(F107="", "",F107="Organizer", 1, F107="Team Leader", 1, F107="Participant", 0.5, F107="Performer", 0.5)</f>
        <v>1</v>
      </c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5.0" customHeight="1">
      <c r="A108" s="93"/>
      <c r="B108" s="93"/>
      <c r="C108" s="91"/>
      <c r="D108" s="10"/>
      <c r="E108" s="8"/>
      <c r="F108" s="91" t="s">
        <v>62</v>
      </c>
      <c r="G108" s="8"/>
      <c r="H108" s="92">
        <f t="array" ref="H108">IFS(F108="", "",F108="Organizer", 1, F108="Team Leader", 1, F108="Participant", 0.5, F108="Performer", 0.5)</f>
        <v>1</v>
      </c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5.0" customHeight="1">
      <c r="A109" s="93"/>
      <c r="B109" s="93"/>
      <c r="C109" s="91"/>
      <c r="D109" s="10"/>
      <c r="E109" s="8"/>
      <c r="F109" s="91" t="s">
        <v>62</v>
      </c>
      <c r="G109" s="8"/>
      <c r="H109" s="92">
        <f t="array" ref="H109">IFS(F109="", "",F109="Organizer", 1, F109="Team Leader", 1, F109="Participant", 0.5, F109="Performer", 0.5)</f>
        <v>1</v>
      </c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5.0" customHeight="1">
      <c r="A110" s="93"/>
      <c r="B110" s="93"/>
      <c r="C110" s="91"/>
      <c r="D110" s="10"/>
      <c r="E110" s="8"/>
      <c r="F110" s="91"/>
      <c r="G110" s="8"/>
      <c r="H110" s="92" t="str">
        <f t="array" ref="H110">IFS(F110="", "",F110="Organizer", 1, F110="Team Leader", 1, F110="Participant", 0.5, F110="Performer", 0.5)</f>
        <v/>
      </c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5.0" customHeight="1">
      <c r="A111" s="93"/>
      <c r="B111" s="93"/>
      <c r="C111" s="91"/>
      <c r="D111" s="10"/>
      <c r="E111" s="8"/>
      <c r="F111" s="91"/>
      <c r="G111" s="8"/>
      <c r="H111" s="92" t="str">
        <f t="array" ref="H111">IFS(F111="", "",F111="Organizer", 1, F111="Team Leader", 1, F111="Participant", 0.5, F111="Performer", 0.5)</f>
        <v/>
      </c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5.0" customHeight="1">
      <c r="A112" s="93"/>
      <c r="B112" s="93"/>
      <c r="C112" s="91"/>
      <c r="D112" s="10"/>
      <c r="E112" s="8"/>
      <c r="F112" s="91"/>
      <c r="G112" s="8"/>
      <c r="H112" s="92" t="str">
        <f t="array" ref="H112">IFS(F112="", "",F112="Organizer", 1, F112="Team Leader", 1, F112="Participant", 0.5, F112="Performer", 0.5)</f>
        <v/>
      </c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5.0" customHeight="1">
      <c r="A113" s="93"/>
      <c r="B113" s="93"/>
      <c r="C113" s="91"/>
      <c r="D113" s="10"/>
      <c r="E113" s="8"/>
      <c r="F113" s="91"/>
      <c r="G113" s="8"/>
      <c r="H113" s="92" t="str">
        <f t="array" ref="H113">IFS(F113="", "",F113="Organizer", 1, F113="Team Leader", 1, F113="Participant", 0.5, F113="Performer", 0.5)</f>
        <v/>
      </c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5.0" customHeight="1">
      <c r="A114" s="93"/>
      <c r="B114" s="93"/>
      <c r="C114" s="91"/>
      <c r="D114" s="10"/>
      <c r="E114" s="8"/>
      <c r="F114" s="91"/>
      <c r="G114" s="8"/>
      <c r="H114" s="92" t="str">
        <f t="array" ref="H114">IFS(F114="", "",F114="Organizer", 1, F114="Team Leader", 1, F114="Participant", 0.5, F114="Performer", 0.5)</f>
        <v/>
      </c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5.0" customHeight="1">
      <c r="A115" s="93"/>
      <c r="B115" s="93"/>
      <c r="C115" s="91"/>
      <c r="D115" s="10"/>
      <c r="E115" s="8"/>
      <c r="F115" s="91"/>
      <c r="G115" s="8"/>
      <c r="H115" s="92" t="str">
        <f t="array" ref="H115">IFS(F115="", "",F115="Organizer", 1, F115="Team Leader", 1, F115="Participant", 0.5, F115="Performer", 0.5)</f>
        <v/>
      </c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5.0" customHeight="1">
      <c r="A116" s="93"/>
      <c r="B116" s="93"/>
      <c r="C116" s="91"/>
      <c r="D116" s="10"/>
      <c r="E116" s="8"/>
      <c r="F116" s="91"/>
      <c r="G116" s="8"/>
      <c r="H116" s="92" t="str">
        <f t="array" ref="H116">IFS(F116="", "",F116="Organizer", 1, F116="Team Leader", 1, F116="Participant", 0.5, F116="Performer", 0.5)</f>
        <v/>
      </c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5.0" customHeight="1">
      <c r="A117" s="93"/>
      <c r="B117" s="93"/>
      <c r="C117" s="91"/>
      <c r="D117" s="10"/>
      <c r="E117" s="8"/>
      <c r="F117" s="91"/>
      <c r="G117" s="8"/>
      <c r="H117" s="92" t="str">
        <f t="array" ref="H117">IFS(F117="", "",F117="Organizer", 1, F117="Team Leader", 1, F117="Participant", 0.5, F117="Performer", 0.5)</f>
        <v/>
      </c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5.0" customHeight="1">
      <c r="A118" s="93"/>
      <c r="B118" s="93"/>
      <c r="C118" s="91"/>
      <c r="D118" s="10"/>
      <c r="E118" s="8"/>
      <c r="F118" s="91"/>
      <c r="G118" s="8"/>
      <c r="H118" s="92" t="str">
        <f t="array" ref="H118">IFS(F118="", "",F118="Organizer", 1, F118="Team Leader", 1, F118="Participant", 0.5, F118="Performer", 0.5)</f>
        <v/>
      </c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5.0" customHeight="1">
      <c r="A119" s="93"/>
      <c r="B119" s="93"/>
      <c r="C119" s="91"/>
      <c r="D119" s="10"/>
      <c r="E119" s="8"/>
      <c r="F119" s="91"/>
      <c r="G119" s="8"/>
      <c r="H119" s="92" t="str">
        <f t="array" ref="H119">IFS(F119="", "",F119="Organizer", 1, F119="Team Leader", 1, F119="Participant", 0.5, F119="Performer", 0.5)</f>
        <v/>
      </c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5.0" customHeight="1">
      <c r="A120" s="93"/>
      <c r="B120" s="93"/>
      <c r="C120" s="91"/>
      <c r="D120" s="10"/>
      <c r="E120" s="8"/>
      <c r="F120" s="91"/>
      <c r="G120" s="8"/>
      <c r="H120" s="92" t="str">
        <f t="array" ref="H120">IFS(F120="", "",F120="Organizer", 1, F120="Team Leader", 1, F120="Participant", 0.5, F120="Performer", 0.5)</f>
        <v/>
      </c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5.0" customHeight="1">
      <c r="A121" s="93"/>
      <c r="B121" s="93"/>
      <c r="C121" s="91"/>
      <c r="D121" s="10"/>
      <c r="E121" s="8"/>
      <c r="F121" s="91"/>
      <c r="G121" s="8"/>
      <c r="H121" s="92" t="str">
        <f t="array" ref="H121">IFS(F121="", "",F121="Organizer", 1, F121="Team Leader", 1, F121="Participant", 0.5, F121="Performer", 0.5)</f>
        <v/>
      </c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5.0" customHeight="1">
      <c r="A122" s="93"/>
      <c r="B122" s="93"/>
      <c r="C122" s="91"/>
      <c r="D122" s="10"/>
      <c r="E122" s="8"/>
      <c r="F122" s="91"/>
      <c r="G122" s="8"/>
      <c r="H122" s="92" t="str">
        <f t="array" ref="H122">IFS(F122="", "",F122="Organizer", 1, F122="Team Leader", 1, F122="Participant", 0.5, F122="Performer", 0.5)</f>
        <v/>
      </c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5.0" customHeight="1">
      <c r="A123" s="93"/>
      <c r="B123" s="93"/>
      <c r="C123" s="91"/>
      <c r="D123" s="10"/>
      <c r="E123" s="8"/>
      <c r="F123" s="91"/>
      <c r="G123" s="8"/>
      <c r="H123" s="92" t="str">
        <f t="array" ref="H123">IFS(F123="", "",F123="Organizer", 1, F123="Team Leader", 1, F123="Participant", 0.5, F123="Performer", 0.5)</f>
        <v/>
      </c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5.0" customHeight="1">
      <c r="A124" s="93"/>
      <c r="B124" s="93"/>
      <c r="C124" s="91"/>
      <c r="D124" s="10"/>
      <c r="E124" s="8"/>
      <c r="F124" s="91"/>
      <c r="G124" s="8"/>
      <c r="H124" s="92" t="str">
        <f t="array" ref="H124">IFS(F124="", "",F124="Organizer", 1, F124="Team Leader", 1, F124="Participant", 0.5, F124="Performer", 0.5)</f>
        <v/>
      </c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5.0" customHeight="1">
      <c r="A125" s="93"/>
      <c r="B125" s="93"/>
      <c r="C125" s="91"/>
      <c r="D125" s="10"/>
      <c r="E125" s="8"/>
      <c r="F125" s="91"/>
      <c r="G125" s="8"/>
      <c r="H125" s="92" t="str">
        <f t="array" ref="H125">IFS(F125="", "",F125="Organizer", 1, F125="Team Leader", 1, F125="Participant", 0.5, F125="Performer", 0.5)</f>
        <v/>
      </c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5.0" customHeight="1">
      <c r="A126" s="93"/>
      <c r="B126" s="93"/>
      <c r="C126" s="91"/>
      <c r="D126" s="10"/>
      <c r="E126" s="8"/>
      <c r="F126" s="91"/>
      <c r="G126" s="8"/>
      <c r="H126" s="92" t="str">
        <f t="array" ref="H126">IFS(F126="", "",F126="Organizer", 1, F126="Team Leader", 1, F126="Participant", 0.5, F126="Performer", 0.5)</f>
        <v/>
      </c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5.0" customHeight="1">
      <c r="A127" s="93"/>
      <c r="B127" s="93"/>
      <c r="C127" s="91"/>
      <c r="D127" s="10"/>
      <c r="E127" s="8"/>
      <c r="F127" s="91"/>
      <c r="G127" s="8"/>
      <c r="H127" s="92" t="str">
        <f t="array" ref="H127">IFS(F127="", "",F127="Organizer", 1, F127="Team Leader", 1, F127="Participant", 0.5, F127="Performer", 0.5)</f>
        <v/>
      </c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5.0" customHeight="1">
      <c r="A128" s="93"/>
      <c r="B128" s="93"/>
      <c r="C128" s="91"/>
      <c r="D128" s="10"/>
      <c r="E128" s="8"/>
      <c r="F128" s="91"/>
      <c r="G128" s="8"/>
      <c r="H128" s="92" t="str">
        <f t="array" ref="H128">IFS(F128="", "",F128="Organizer", 1, F128="Team Leader", 1, F128="Participant", 0.5, F128="Performer", 0.5)</f>
        <v/>
      </c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5.0" customHeight="1">
      <c r="A129" s="93"/>
      <c r="B129" s="93"/>
      <c r="C129" s="91"/>
      <c r="D129" s="10"/>
      <c r="E129" s="8"/>
      <c r="F129" s="91"/>
      <c r="G129" s="8"/>
      <c r="H129" s="92" t="str">
        <f t="array" ref="H129">IFS(F129="", "",F129="Organizer", 1, F129="Team Leader", 1, F129="Participant", 0.5, F129="Performer", 0.5)</f>
        <v/>
      </c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5.0" customHeight="1">
      <c r="A130" s="93"/>
      <c r="B130" s="93"/>
      <c r="C130" s="91"/>
      <c r="D130" s="10"/>
      <c r="E130" s="8"/>
      <c r="F130" s="91"/>
      <c r="G130" s="8"/>
      <c r="H130" s="92" t="str">
        <f t="array" ref="H130">IFS(F130="", "",F130="Organizer", 1, F130="Team Leader", 1, F130="Participant", 0.5, F130="Performer", 0.5)</f>
        <v/>
      </c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5.0" customHeight="1">
      <c r="A131" s="93"/>
      <c r="B131" s="93"/>
      <c r="C131" s="91"/>
      <c r="D131" s="10"/>
      <c r="E131" s="8"/>
      <c r="F131" s="91"/>
      <c r="G131" s="8"/>
      <c r="H131" s="92" t="str">
        <f t="array" ref="H131">IFS(F131="", "",F131="Organizer", 1, F131="Team Leader", 1, F131="Participant", 0.5, F131="Performer", 0.5)</f>
        <v/>
      </c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5.0" customHeight="1">
      <c r="A132" s="93"/>
      <c r="B132" s="93"/>
      <c r="C132" s="91"/>
      <c r="D132" s="10"/>
      <c r="E132" s="8"/>
      <c r="F132" s="91"/>
      <c r="G132" s="8"/>
      <c r="H132" s="92" t="str">
        <f t="array" ref="H132">IFS(F132="", "",F132="Organizer", 1, F132="Team Leader", 1, F132="Participant", 0.5, F132="Performer", 0.5)</f>
        <v/>
      </c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5.0" customHeight="1">
      <c r="A133" s="93"/>
      <c r="B133" s="93"/>
      <c r="C133" s="91"/>
      <c r="D133" s="10"/>
      <c r="E133" s="8"/>
      <c r="F133" s="91"/>
      <c r="G133" s="8"/>
      <c r="H133" s="92" t="str">
        <f t="array" ref="H133">IFS(F133="", "",F133="Organizer", 1, F133="Team Leader", 1, F133="Participant", 0.5, F133="Performer", 0.5)</f>
        <v/>
      </c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5.0" customHeight="1">
      <c r="A134" s="93"/>
      <c r="B134" s="93"/>
      <c r="C134" s="91"/>
      <c r="D134" s="10"/>
      <c r="E134" s="8"/>
      <c r="F134" s="91"/>
      <c r="G134" s="8"/>
      <c r="H134" s="92" t="str">
        <f t="array" ref="H134">IFS(F134="", "",F134="Organizer", 1, F134="Team Leader", 1, F134="Participant", 0.5, F134="Performer", 0.5)</f>
        <v/>
      </c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5.0" customHeight="1">
      <c r="A135" s="93"/>
      <c r="B135" s="93"/>
      <c r="C135" s="91"/>
      <c r="D135" s="10"/>
      <c r="E135" s="8"/>
      <c r="F135" s="91"/>
      <c r="G135" s="8"/>
      <c r="H135" s="92" t="str">
        <f t="array" ref="H135">IFS(F135="", "",F135="Organizer", 1, F135="Team Leader", 1, F135="Participant", 0.5, F135="Performer", 0.5)</f>
        <v/>
      </c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5.0" customHeight="1">
      <c r="A136" s="93"/>
      <c r="B136" s="93"/>
      <c r="C136" s="91"/>
      <c r="D136" s="10"/>
      <c r="E136" s="8"/>
      <c r="F136" s="91"/>
      <c r="G136" s="8"/>
      <c r="H136" s="92" t="str">
        <f t="array" ref="H136">IFS(F136="", "",F136="Organizer", 1, F136="Team Leader", 1, F136="Participant", 0.5, F136="Performer", 0.5)</f>
        <v/>
      </c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5.0" customHeight="1">
      <c r="A137" s="93"/>
      <c r="B137" s="93"/>
      <c r="C137" s="91"/>
      <c r="D137" s="10"/>
      <c r="E137" s="8"/>
      <c r="F137" s="91"/>
      <c r="G137" s="8"/>
      <c r="H137" s="92" t="str">
        <f t="array" ref="H137">IFS(F137="", "",F137="Organizer", 1, F137="Team Leader", 1, F137="Participant", 0.5, F137="Performer", 0.5)</f>
        <v/>
      </c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5.0" customHeight="1">
      <c r="A138" s="93"/>
      <c r="B138" s="93"/>
      <c r="C138" s="91"/>
      <c r="D138" s="10"/>
      <c r="E138" s="8"/>
      <c r="F138" s="91"/>
      <c r="G138" s="8"/>
      <c r="H138" s="92" t="str">
        <f t="array" ref="H138">IFS(F138="", "",F138="Organizer", 1, F138="Team Leader", 1, F138="Participant", 0.5, F138="Performer", 0.5)</f>
        <v/>
      </c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5.0" customHeight="1">
      <c r="A139" s="93"/>
      <c r="B139" s="93"/>
      <c r="C139" s="91"/>
      <c r="D139" s="10"/>
      <c r="E139" s="8"/>
      <c r="F139" s="91"/>
      <c r="G139" s="8"/>
      <c r="H139" s="92" t="str">
        <f t="array" ref="H139">IFS(F139="", "",F139="Organizer", 1, F139="Team Leader", 1, F139="Participant", 0.5, F139="Performer", 0.5)</f>
        <v/>
      </c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5.0" customHeight="1">
      <c r="A140" s="93"/>
      <c r="B140" s="93"/>
      <c r="C140" s="91"/>
      <c r="D140" s="10"/>
      <c r="E140" s="8"/>
      <c r="F140" s="91"/>
      <c r="G140" s="8"/>
      <c r="H140" s="92" t="str">
        <f t="array" ref="H140">IFS(F140="", "",F140="Organizer", 1, F140="Team Leader", 1, F140="Participant", 0.5, F140="Performer", 0.5)</f>
        <v/>
      </c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5.0" customHeight="1">
      <c r="A141" s="93"/>
      <c r="B141" s="93"/>
      <c r="C141" s="91"/>
      <c r="D141" s="10"/>
      <c r="E141" s="8"/>
      <c r="F141" s="91"/>
      <c r="G141" s="8"/>
      <c r="H141" s="92" t="str">
        <f t="array" ref="H141">IFS(F141="", "",F141="Organizer", 1, F141="Team Leader", 1, F141="Participant", 0.5, F141="Performer", 0.5)</f>
        <v/>
      </c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5.0" customHeight="1">
      <c r="A142" s="93"/>
      <c r="B142" s="93"/>
      <c r="C142" s="91"/>
      <c r="D142" s="10"/>
      <c r="E142" s="8"/>
      <c r="F142" s="91"/>
      <c r="G142" s="8"/>
      <c r="H142" s="92" t="str">
        <f t="array" ref="H142">IFS(F142="", "",F142="Organizer", 1, F142="Team Leader", 1, F142="Participant", 0.5, F142="Performer", 0.5)</f>
        <v/>
      </c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5.0" customHeight="1">
      <c r="A143" s="93"/>
      <c r="B143" s="93"/>
      <c r="C143" s="91"/>
      <c r="D143" s="10"/>
      <c r="E143" s="8"/>
      <c r="F143" s="91"/>
      <c r="G143" s="8"/>
      <c r="H143" s="92" t="str">
        <f t="array" ref="H143">IFS(F143="", "",F143="Organizer", 1, F143="Team Leader", 1, F143="Participant", 0.5, F143="Performer", 0.5)</f>
        <v/>
      </c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5.0" customHeight="1">
      <c r="A144" s="93"/>
      <c r="B144" s="93"/>
      <c r="C144" s="91"/>
      <c r="D144" s="10"/>
      <c r="E144" s="8"/>
      <c r="F144" s="91"/>
      <c r="G144" s="8"/>
      <c r="H144" s="92" t="str">
        <f t="array" ref="H144">IFS(F144="", "",F144="Organizer", 1, F144="Team Leader", 1, F144="Participant", 0.5, F144="Performer", 0.5)</f>
        <v/>
      </c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5.0" customHeight="1">
      <c r="A145" s="93"/>
      <c r="B145" s="93"/>
      <c r="C145" s="91"/>
      <c r="D145" s="10"/>
      <c r="E145" s="8"/>
      <c r="F145" s="91"/>
      <c r="G145" s="8"/>
      <c r="H145" s="92" t="str">
        <f t="array" ref="H145">IFS(F145="", "",F145="Organizer", 1, F145="Team Leader", 1, F145="Participant", 0.5, F145="Performer", 0.5)</f>
        <v/>
      </c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5.0" customHeight="1">
      <c r="A146" s="93"/>
      <c r="B146" s="93"/>
      <c r="C146" s="91"/>
      <c r="D146" s="10"/>
      <c r="E146" s="8"/>
      <c r="F146" s="91"/>
      <c r="G146" s="8"/>
      <c r="H146" s="92" t="str">
        <f t="array" ref="H146">IFS(F146="", "",F146="Organizer", 1, F146="Team Leader", 1, F146="Participant", 0.5, F146="Performer", 0.5)</f>
        <v/>
      </c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5.0" customHeight="1">
      <c r="A147" s="93"/>
      <c r="B147" s="93"/>
      <c r="C147" s="91"/>
      <c r="D147" s="10"/>
      <c r="E147" s="8"/>
      <c r="F147" s="91"/>
      <c r="G147" s="8"/>
      <c r="H147" s="92" t="str">
        <f t="array" ref="H147">IFS(F147="", "",F147="Organizer", 1, F147="Team Leader", 1, F147="Participant", 0.5, F147="Performer", 0.5)</f>
        <v/>
      </c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5.0" customHeight="1">
      <c r="A148" s="93"/>
      <c r="B148" s="93"/>
      <c r="C148" s="91"/>
      <c r="D148" s="10"/>
      <c r="E148" s="8"/>
      <c r="F148" s="91"/>
      <c r="G148" s="8"/>
      <c r="H148" s="92" t="str">
        <f t="array" ref="H148">IFS(F148="", "",F148="Organizer", 1, F148="Team Leader", 1, F148="Participant", 0.5, F148="Performer", 0.5)</f>
        <v/>
      </c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5.0" customHeight="1">
      <c r="A149" s="93"/>
      <c r="B149" s="93"/>
      <c r="C149" s="91"/>
      <c r="D149" s="10"/>
      <c r="E149" s="8"/>
      <c r="F149" s="91"/>
      <c r="G149" s="8"/>
      <c r="H149" s="92" t="str">
        <f t="array" ref="H149">IFS(F149="", "",F149="Organizer", 1, F149="Team Leader", 1, F149="Participant", 0.5, F149="Performer", 0.5)</f>
        <v/>
      </c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5.0" customHeight="1">
      <c r="A150" s="93"/>
      <c r="B150" s="93"/>
      <c r="C150" s="91"/>
      <c r="D150" s="10"/>
      <c r="E150" s="8"/>
      <c r="F150" s="91"/>
      <c r="G150" s="8"/>
      <c r="H150" s="92" t="str">
        <f t="array" ref="H150">IFS(F150="", "",F150="Organizer", 1, F150="Team Leader", 1, F150="Participant", 0.5, F150="Performer", 0.5)</f>
        <v/>
      </c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5.0" customHeight="1">
      <c r="A151" s="93"/>
      <c r="B151" s="93"/>
      <c r="C151" s="91"/>
      <c r="D151" s="10"/>
      <c r="E151" s="8"/>
      <c r="F151" s="91"/>
      <c r="G151" s="8"/>
      <c r="H151" s="92" t="str">
        <f t="array" ref="H151">IFS(F151="", "",F151="Organizer", 1, F151="Team Leader", 1, F151="Participant", 0.5, F151="Performer", 0.5)</f>
        <v/>
      </c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5.0" customHeight="1">
      <c r="A152" s="93"/>
      <c r="B152" s="93"/>
      <c r="C152" s="91"/>
      <c r="D152" s="10"/>
      <c r="E152" s="8"/>
      <c r="F152" s="91"/>
      <c r="G152" s="8"/>
      <c r="H152" s="92" t="str">
        <f t="array" ref="H152">IFS(F152="", "",F152="Organizer", 1, F152="Team Leader", 1, F152="Participant", 0.5, F152="Performer", 0.5)</f>
        <v/>
      </c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5.0" customHeight="1">
      <c r="A153" s="93"/>
      <c r="B153" s="93"/>
      <c r="C153" s="91"/>
      <c r="D153" s="10"/>
      <c r="E153" s="8"/>
      <c r="F153" s="91"/>
      <c r="G153" s="8"/>
      <c r="H153" s="92" t="str">
        <f t="array" ref="H153">IFS(F153="", "",F153="Organizer", 1, F153="Team Leader", 1, F153="Participant", 0.5, F153="Performer", 0.5)</f>
        <v/>
      </c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5.0" customHeight="1">
      <c r="A154" s="93"/>
      <c r="B154" s="93"/>
      <c r="C154" s="91"/>
      <c r="D154" s="10"/>
      <c r="E154" s="8"/>
      <c r="F154" s="91"/>
      <c r="G154" s="8"/>
      <c r="H154" s="92" t="str">
        <f t="array" ref="H154">IFS(F154="", "",F154="Organizer", 1, F154="Team Leader", 1, F154="Participant", 0.5, F154="Performer", 0.5)</f>
        <v/>
      </c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5.0" customHeight="1">
      <c r="A155" s="93"/>
      <c r="B155" s="93"/>
      <c r="C155" s="91"/>
      <c r="D155" s="10"/>
      <c r="E155" s="8"/>
      <c r="F155" s="91"/>
      <c r="G155" s="8"/>
      <c r="H155" s="92" t="str">
        <f t="array" ref="H155">IFS(F155="", "",F155="Organizer", 1, F155="Team Leader", 1, F155="Participant", 0.5, F155="Performer", 0.5)</f>
        <v/>
      </c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5.0" customHeight="1">
      <c r="A156" s="93"/>
      <c r="B156" s="93"/>
      <c r="C156" s="91"/>
      <c r="D156" s="10"/>
      <c r="E156" s="8"/>
      <c r="F156" s="91"/>
      <c r="G156" s="8"/>
      <c r="H156" s="92" t="str">
        <f t="array" ref="H156">IFS(F156="", "",F156="Organizer", 1, F156="Team Leader", 1, F156="Participant", 0.5, F156="Performer", 0.5)</f>
        <v/>
      </c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5.0" customHeight="1">
      <c r="A157" s="95" t="s">
        <v>49</v>
      </c>
      <c r="B157" s="10"/>
      <c r="C157" s="10"/>
      <c r="D157" s="10"/>
      <c r="E157" s="10"/>
      <c r="F157" s="10"/>
      <c r="G157" s="8"/>
      <c r="H157" s="89">
        <f>SUM(H107:H156)</f>
        <v>3</v>
      </c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5.0" customHeight="1">
      <c r="A158" s="88" t="s">
        <v>116</v>
      </c>
      <c r="B158" s="10"/>
      <c r="C158" s="10"/>
      <c r="D158" s="10"/>
      <c r="E158" s="10"/>
      <c r="F158" s="10"/>
      <c r="G158" s="10"/>
      <c r="H158" s="8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50.25" customHeight="1">
      <c r="A159" s="89" t="s">
        <v>117</v>
      </c>
      <c r="B159" s="89" t="s">
        <v>106</v>
      </c>
      <c r="C159" s="90" t="s">
        <v>107</v>
      </c>
      <c r="D159" s="10"/>
      <c r="E159" s="8"/>
      <c r="F159" s="91" t="s">
        <v>108</v>
      </c>
      <c r="G159" s="8"/>
      <c r="H159" s="92" t="s">
        <v>48</v>
      </c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5.0" customHeight="1">
      <c r="A160" s="93"/>
      <c r="B160" s="93"/>
      <c r="C160" s="91"/>
      <c r="D160" s="10"/>
      <c r="E160" s="8"/>
      <c r="F160" s="91" t="s">
        <v>109</v>
      </c>
      <c r="G160" s="8"/>
      <c r="H160" s="92">
        <f t="array" ref="H160">IFS(F160="", "",F160="Organizer", 0.5, F160="Team Leader", 0.5, F160="Participant", 0.25, F160="Performer", 0.25)</f>
        <v>0.5</v>
      </c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5.0" customHeight="1">
      <c r="A161" s="93"/>
      <c r="B161" s="93"/>
      <c r="C161" s="91"/>
      <c r="D161" s="10"/>
      <c r="E161" s="8"/>
      <c r="F161" s="91" t="s">
        <v>62</v>
      </c>
      <c r="G161" s="8"/>
      <c r="H161" s="92">
        <f t="array" ref="H161">IFS(F161="", "",F161="Organizer", 0.5, F161="Team Leader", 0.5, F161="Participant", 0.25, F161="Performer", 0.25)</f>
        <v>0.5</v>
      </c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5.0" customHeight="1">
      <c r="A162" s="93"/>
      <c r="B162" s="93"/>
      <c r="C162" s="91"/>
      <c r="D162" s="10"/>
      <c r="E162" s="8"/>
      <c r="F162" s="91"/>
      <c r="G162" s="8"/>
      <c r="H162" s="92" t="str">
        <f t="array" ref="H162">IFS(F162="", "",F162="Organizer", 0.5, F162="Team Leader", 0.5, F162="Participant", 0.25, F162="Performer", 0.25)</f>
        <v/>
      </c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5.0" customHeight="1">
      <c r="A163" s="93"/>
      <c r="B163" s="93"/>
      <c r="C163" s="91"/>
      <c r="D163" s="10"/>
      <c r="E163" s="8"/>
      <c r="F163" s="91"/>
      <c r="G163" s="8"/>
      <c r="H163" s="92" t="str">
        <f t="array" ref="H163">IFS(F163="", "",F163="Organizer", 0.5, F163="Team Leader", 0.5, F163="Participant", 0.25, F163="Performer", 0.25)</f>
        <v/>
      </c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5.0" customHeight="1">
      <c r="A164" s="93"/>
      <c r="B164" s="93"/>
      <c r="C164" s="91"/>
      <c r="D164" s="10"/>
      <c r="E164" s="8"/>
      <c r="F164" s="91"/>
      <c r="G164" s="8"/>
      <c r="H164" s="92" t="str">
        <f t="array" ref="H164">IFS(F164="", "",F164="Organizer", 0.5, F164="Team Leader", 0.5, F164="Participant", 0.25, F164="Performer", 0.25)</f>
        <v/>
      </c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5.0" customHeight="1">
      <c r="A165" s="93"/>
      <c r="B165" s="93"/>
      <c r="C165" s="91"/>
      <c r="D165" s="10"/>
      <c r="E165" s="8"/>
      <c r="F165" s="91"/>
      <c r="G165" s="8"/>
      <c r="H165" s="92" t="str">
        <f t="array" ref="H165">IFS(F165="", "",F165="Organizer", 0.5, F165="Team Leader", 0.5, F165="Participant", 0.25, F165="Performer", 0.25)</f>
        <v/>
      </c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5.0" customHeight="1">
      <c r="A166" s="93"/>
      <c r="B166" s="93"/>
      <c r="C166" s="91"/>
      <c r="D166" s="10"/>
      <c r="E166" s="8"/>
      <c r="F166" s="91"/>
      <c r="G166" s="8"/>
      <c r="H166" s="92" t="str">
        <f t="array" ref="H166">IFS(F166="", "",F166="Organizer", 0.5, F166="Team Leader", 0.5, F166="Participant", 0.25, F166="Performer", 0.25)</f>
        <v/>
      </c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5.0" customHeight="1">
      <c r="A167" s="93"/>
      <c r="B167" s="93"/>
      <c r="C167" s="91"/>
      <c r="D167" s="10"/>
      <c r="E167" s="8"/>
      <c r="F167" s="91"/>
      <c r="G167" s="8"/>
      <c r="H167" s="92" t="str">
        <f t="array" ref="H167">IFS(F167="", "",F167="Organizer", 0.5, F167="Team Leader", 0.5, F167="Participant", 0.25, F167="Performer", 0.25)</f>
        <v/>
      </c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5.0" customHeight="1">
      <c r="A168" s="93"/>
      <c r="B168" s="93"/>
      <c r="C168" s="91"/>
      <c r="D168" s="10"/>
      <c r="E168" s="8"/>
      <c r="F168" s="91"/>
      <c r="G168" s="8"/>
      <c r="H168" s="92" t="str">
        <f t="array" ref="H168">IFS(F168="", "",F168="Organizer", 0.5, F168="Team Leader", 0.5, F168="Participant", 0.25, F168="Performer", 0.25)</f>
        <v/>
      </c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5.0" customHeight="1">
      <c r="A169" s="93"/>
      <c r="B169" s="93"/>
      <c r="C169" s="91"/>
      <c r="D169" s="10"/>
      <c r="E169" s="8"/>
      <c r="F169" s="91"/>
      <c r="G169" s="8"/>
      <c r="H169" s="92" t="str">
        <f t="array" ref="H169">IFS(F169="", "",F169="Organizer", 0.5, F169="Team Leader", 0.5, F169="Participant", 0.25, F169="Performer", 0.25)</f>
        <v/>
      </c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5.0" customHeight="1">
      <c r="A170" s="93"/>
      <c r="B170" s="93"/>
      <c r="C170" s="91"/>
      <c r="D170" s="10"/>
      <c r="E170" s="8"/>
      <c r="F170" s="91"/>
      <c r="G170" s="8"/>
      <c r="H170" s="92" t="str">
        <f t="array" ref="H170">IFS(F170="", "",F170="Organizer", 0.5, F170="Team Leader", 0.5, F170="Participant", 0.25, F170="Performer", 0.25)</f>
        <v/>
      </c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5.0" customHeight="1">
      <c r="A171" s="93"/>
      <c r="B171" s="93"/>
      <c r="C171" s="91"/>
      <c r="D171" s="10"/>
      <c r="E171" s="8"/>
      <c r="F171" s="91"/>
      <c r="G171" s="8"/>
      <c r="H171" s="92" t="str">
        <f t="array" ref="H171">IFS(F171="", "",F171="Organizer", 0.5, F171="Team Leader", 0.5, F171="Participant", 0.25, F171="Performer", 0.25)</f>
        <v/>
      </c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5.0" customHeight="1">
      <c r="A172" s="93"/>
      <c r="B172" s="93"/>
      <c r="C172" s="91"/>
      <c r="D172" s="10"/>
      <c r="E172" s="8"/>
      <c r="F172" s="91"/>
      <c r="G172" s="8"/>
      <c r="H172" s="92" t="str">
        <f t="array" ref="H172">IFS(F172="", "",F172="Organizer", 0.5, F172="Team Leader", 0.5, F172="Participant", 0.25, F172="Performer", 0.25)</f>
        <v/>
      </c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5.0" customHeight="1">
      <c r="A173" s="93"/>
      <c r="B173" s="93"/>
      <c r="C173" s="91"/>
      <c r="D173" s="10"/>
      <c r="E173" s="8"/>
      <c r="F173" s="91"/>
      <c r="G173" s="8"/>
      <c r="H173" s="92" t="str">
        <f t="array" ref="H173">IFS(F173="", "",F173="Organizer", 0.5, F173="Team Leader", 0.5, F173="Participant", 0.25, F173="Performer", 0.25)</f>
        <v/>
      </c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5.0" customHeight="1">
      <c r="A174" s="93"/>
      <c r="B174" s="93"/>
      <c r="C174" s="91"/>
      <c r="D174" s="10"/>
      <c r="E174" s="8"/>
      <c r="F174" s="91"/>
      <c r="G174" s="8"/>
      <c r="H174" s="92" t="str">
        <f t="array" ref="H174">IFS(F174="", "",F174="Organizer", 0.5, F174="Team Leader", 0.5, F174="Participant", 0.25, F174="Performer", 0.25)</f>
        <v/>
      </c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5.0" customHeight="1">
      <c r="A175" s="93"/>
      <c r="B175" s="93"/>
      <c r="C175" s="91"/>
      <c r="D175" s="10"/>
      <c r="E175" s="8"/>
      <c r="F175" s="91"/>
      <c r="G175" s="8"/>
      <c r="H175" s="92" t="str">
        <f t="array" ref="H175">IFS(F175="", "",F175="Organizer", 0.5, F175="Team Leader", 0.5, F175="Participant", 0.25, F175="Performer", 0.25)</f>
        <v/>
      </c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5.0" customHeight="1">
      <c r="A176" s="93"/>
      <c r="B176" s="93"/>
      <c r="C176" s="91"/>
      <c r="D176" s="10"/>
      <c r="E176" s="8"/>
      <c r="F176" s="91"/>
      <c r="G176" s="8"/>
      <c r="H176" s="92" t="str">
        <f t="array" ref="H176">IFS(F176="", "",F176="Organizer", 0.5, F176="Team Leader", 0.5, F176="Participant", 0.25, F176="Performer", 0.25)</f>
        <v/>
      </c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5.0" customHeight="1">
      <c r="A177" s="93"/>
      <c r="B177" s="93"/>
      <c r="C177" s="91"/>
      <c r="D177" s="10"/>
      <c r="E177" s="8"/>
      <c r="F177" s="91"/>
      <c r="G177" s="8"/>
      <c r="H177" s="92" t="str">
        <f t="array" ref="H177">IFS(F177="", "",F177="Organizer", 0.5, F177="Team Leader", 0.5, F177="Participant", 0.25, F177="Performer", 0.25)</f>
        <v/>
      </c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5.0" customHeight="1">
      <c r="A178" s="93"/>
      <c r="B178" s="93"/>
      <c r="C178" s="91"/>
      <c r="D178" s="10"/>
      <c r="E178" s="8"/>
      <c r="F178" s="91"/>
      <c r="G178" s="8"/>
      <c r="H178" s="92" t="str">
        <f t="array" ref="H178">IFS(F178="", "",F178="Organizer", 0.5, F178="Team Leader", 0.5, F178="Participant", 0.25, F178="Performer", 0.25)</f>
        <v/>
      </c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5.0" customHeight="1">
      <c r="A179" s="93"/>
      <c r="B179" s="93"/>
      <c r="C179" s="91"/>
      <c r="D179" s="10"/>
      <c r="E179" s="8"/>
      <c r="F179" s="91"/>
      <c r="G179" s="8"/>
      <c r="H179" s="92" t="str">
        <f t="array" ref="H179">IFS(F179="", "",F179="Organizer", 0.5, F179="Team Leader", 0.5, F179="Participant", 0.25, F179="Performer", 0.25)</f>
        <v/>
      </c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5.0" customHeight="1">
      <c r="A180" s="93"/>
      <c r="B180" s="93"/>
      <c r="C180" s="91"/>
      <c r="D180" s="10"/>
      <c r="E180" s="8"/>
      <c r="F180" s="91"/>
      <c r="G180" s="8"/>
      <c r="H180" s="92" t="str">
        <f t="array" ref="H180">IFS(F180="", "",F180="Organizer", 0.5, F180="Team Leader", 0.5, F180="Participant", 0.25, F180="Performer", 0.25)</f>
        <v/>
      </c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5.0" customHeight="1">
      <c r="A181" s="93"/>
      <c r="B181" s="93"/>
      <c r="C181" s="91"/>
      <c r="D181" s="10"/>
      <c r="E181" s="8"/>
      <c r="F181" s="91"/>
      <c r="G181" s="8"/>
      <c r="H181" s="92" t="str">
        <f t="array" ref="H181">IFS(F181="", "",F181="Organizer", 0.5, F181="Team Leader", 0.5, F181="Participant", 0.25, F181="Performer", 0.25)</f>
        <v/>
      </c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5.0" customHeight="1">
      <c r="A182" s="93"/>
      <c r="B182" s="93"/>
      <c r="C182" s="91"/>
      <c r="D182" s="10"/>
      <c r="E182" s="8"/>
      <c r="F182" s="91"/>
      <c r="G182" s="8"/>
      <c r="H182" s="92" t="str">
        <f t="array" ref="H182">IFS(F182="", "",F182="Organizer", 0.5, F182="Team Leader", 0.5, F182="Participant", 0.25, F182="Performer", 0.25)</f>
        <v/>
      </c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5.0" customHeight="1">
      <c r="A183" s="93"/>
      <c r="B183" s="93"/>
      <c r="C183" s="91"/>
      <c r="D183" s="10"/>
      <c r="E183" s="8"/>
      <c r="F183" s="91"/>
      <c r="G183" s="8"/>
      <c r="H183" s="92" t="str">
        <f t="array" ref="H183">IFS(F183="", "",F183="Organizer", 0.5, F183="Team Leader", 0.5, F183="Participant", 0.25, F183="Performer", 0.25)</f>
        <v/>
      </c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5.0" customHeight="1">
      <c r="A184" s="93"/>
      <c r="B184" s="93"/>
      <c r="C184" s="91"/>
      <c r="D184" s="10"/>
      <c r="E184" s="8"/>
      <c r="F184" s="91"/>
      <c r="G184" s="8"/>
      <c r="H184" s="92" t="str">
        <f t="array" ref="H184">IFS(F184="", "",F184="Organizer", 0.5, F184="Team Leader", 0.5, F184="Participant", 0.25, F184="Performer", 0.25)</f>
        <v/>
      </c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5.0" customHeight="1">
      <c r="A185" s="93"/>
      <c r="B185" s="93"/>
      <c r="C185" s="91"/>
      <c r="D185" s="10"/>
      <c r="E185" s="8"/>
      <c r="F185" s="91"/>
      <c r="G185" s="8"/>
      <c r="H185" s="92" t="str">
        <f t="array" ref="H185">IFS(F185="", "",F185="Organizer", 0.5, F185="Team Leader", 0.5, F185="Participant", 0.25, F185="Performer", 0.25)</f>
        <v/>
      </c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5.0" customHeight="1">
      <c r="A186" s="93"/>
      <c r="B186" s="93"/>
      <c r="C186" s="91"/>
      <c r="D186" s="10"/>
      <c r="E186" s="8"/>
      <c r="F186" s="91"/>
      <c r="G186" s="8"/>
      <c r="H186" s="92" t="str">
        <f t="array" ref="H186">IFS(F186="", "",F186="Organizer", 0.5, F186="Team Leader", 0.5, F186="Participant", 0.25, F186="Performer", 0.25)</f>
        <v/>
      </c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5.0" customHeight="1">
      <c r="A187" s="93"/>
      <c r="B187" s="93"/>
      <c r="C187" s="91"/>
      <c r="D187" s="10"/>
      <c r="E187" s="8"/>
      <c r="F187" s="91"/>
      <c r="G187" s="8"/>
      <c r="H187" s="92" t="str">
        <f t="array" ref="H187">IFS(F187="", "",F187="Organizer", 0.5, F187="Team Leader", 0.5, F187="Participant", 0.25, F187="Performer", 0.25)</f>
        <v/>
      </c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5.0" customHeight="1">
      <c r="A188" s="93"/>
      <c r="B188" s="93"/>
      <c r="C188" s="91"/>
      <c r="D188" s="10"/>
      <c r="E188" s="8"/>
      <c r="F188" s="91"/>
      <c r="G188" s="8"/>
      <c r="H188" s="92" t="str">
        <f t="array" ref="H188">IFS(F188="", "",F188="Organizer", 0.5, F188="Team Leader", 0.5, F188="Participant", 0.25, F188="Performer", 0.25)</f>
        <v/>
      </c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5.0" customHeight="1">
      <c r="A189" s="93"/>
      <c r="B189" s="93"/>
      <c r="C189" s="91"/>
      <c r="D189" s="10"/>
      <c r="E189" s="8"/>
      <c r="F189" s="91"/>
      <c r="G189" s="8"/>
      <c r="H189" s="92" t="str">
        <f t="array" ref="H189">IFS(F189="", "",F189="Organizer", 0.5, F189="Team Leader", 0.5, F189="Participant", 0.25, F189="Performer", 0.25)</f>
        <v/>
      </c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5.0" customHeight="1">
      <c r="A190" s="93"/>
      <c r="B190" s="93"/>
      <c r="C190" s="91"/>
      <c r="D190" s="10"/>
      <c r="E190" s="8"/>
      <c r="F190" s="91"/>
      <c r="G190" s="8"/>
      <c r="H190" s="92" t="str">
        <f t="array" ref="H190">IFS(F190="", "",F190="Organizer", 0.5, F190="Team Leader", 0.5, F190="Participant", 0.25, F190="Performer", 0.25)</f>
        <v/>
      </c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5.0" customHeight="1">
      <c r="A191" s="93"/>
      <c r="B191" s="93"/>
      <c r="C191" s="91"/>
      <c r="D191" s="10"/>
      <c r="E191" s="8"/>
      <c r="F191" s="91"/>
      <c r="G191" s="8"/>
      <c r="H191" s="92" t="str">
        <f t="array" ref="H191">IFS(F191="", "",F191="Organizer", 0.5, F191="Team Leader", 0.5, F191="Participant", 0.25, F191="Performer", 0.25)</f>
        <v/>
      </c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5.0" customHeight="1">
      <c r="A192" s="93"/>
      <c r="B192" s="93"/>
      <c r="C192" s="91"/>
      <c r="D192" s="10"/>
      <c r="E192" s="8"/>
      <c r="F192" s="91"/>
      <c r="G192" s="8"/>
      <c r="H192" s="92" t="str">
        <f t="array" ref="H192">IFS(F192="", "",F192="Organizer", 0.5, F192="Team Leader", 0.5, F192="Participant", 0.25, F192="Performer", 0.25)</f>
        <v/>
      </c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5.0" customHeight="1">
      <c r="A193" s="93"/>
      <c r="B193" s="93"/>
      <c r="C193" s="91"/>
      <c r="D193" s="10"/>
      <c r="E193" s="8"/>
      <c r="F193" s="91"/>
      <c r="G193" s="8"/>
      <c r="H193" s="92" t="str">
        <f t="array" ref="H193">IFS(F193="", "",F193="Organizer", 0.5, F193="Team Leader", 0.5, F193="Participant", 0.25, F193="Performer", 0.25)</f>
        <v/>
      </c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5.0" customHeight="1">
      <c r="A194" s="93"/>
      <c r="B194" s="93"/>
      <c r="C194" s="91"/>
      <c r="D194" s="10"/>
      <c r="E194" s="8"/>
      <c r="F194" s="91"/>
      <c r="G194" s="8"/>
      <c r="H194" s="92" t="str">
        <f t="array" ref="H194">IFS(F194="", "",F194="Organizer", 0.5, F194="Team Leader", 0.5, F194="Participant", 0.25, F194="Performer", 0.25)</f>
        <v/>
      </c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5.0" customHeight="1">
      <c r="A195" s="93"/>
      <c r="B195" s="93"/>
      <c r="C195" s="91"/>
      <c r="D195" s="10"/>
      <c r="E195" s="8"/>
      <c r="F195" s="91"/>
      <c r="G195" s="8"/>
      <c r="H195" s="92" t="str">
        <f t="array" ref="H195">IFS(F195="", "",F195="Organizer", 0.5, F195="Team Leader", 0.5, F195="Participant", 0.25, F195="Performer", 0.25)</f>
        <v/>
      </c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5.0" customHeight="1">
      <c r="A196" s="93"/>
      <c r="B196" s="93"/>
      <c r="C196" s="91"/>
      <c r="D196" s="10"/>
      <c r="E196" s="8"/>
      <c r="F196" s="91"/>
      <c r="G196" s="8"/>
      <c r="H196" s="92" t="str">
        <f t="array" ref="H196">IFS(F196="", "",F196="Organizer", 0.5, F196="Team Leader", 0.5, F196="Participant", 0.25, F196="Performer", 0.25)</f>
        <v/>
      </c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5.0" customHeight="1">
      <c r="A197" s="93"/>
      <c r="B197" s="93"/>
      <c r="C197" s="91"/>
      <c r="D197" s="10"/>
      <c r="E197" s="8"/>
      <c r="F197" s="91"/>
      <c r="G197" s="8"/>
      <c r="H197" s="92" t="str">
        <f t="array" ref="H197">IFS(F197="", "",F197="Organizer", 0.5, F197="Team Leader", 0.5, F197="Participant", 0.25, F197="Performer", 0.25)</f>
        <v/>
      </c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5.0" customHeight="1">
      <c r="A198" s="93"/>
      <c r="B198" s="93"/>
      <c r="C198" s="91"/>
      <c r="D198" s="10"/>
      <c r="E198" s="8"/>
      <c r="F198" s="91"/>
      <c r="G198" s="8"/>
      <c r="H198" s="92" t="str">
        <f t="array" ref="H198">IFS(F198="", "",F198="Organizer", 0.5, F198="Team Leader", 0.5, F198="Participant", 0.25, F198="Performer", 0.25)</f>
        <v/>
      </c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5.0" customHeight="1">
      <c r="A199" s="93"/>
      <c r="B199" s="93"/>
      <c r="C199" s="91"/>
      <c r="D199" s="10"/>
      <c r="E199" s="8"/>
      <c r="F199" s="91"/>
      <c r="G199" s="8"/>
      <c r="H199" s="92" t="str">
        <f t="array" ref="H199">IFS(F199="", "",F199="Organizer", 0.5, F199="Team Leader", 0.5, F199="Participant", 0.25, F199="Performer", 0.25)</f>
        <v/>
      </c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5.0" customHeight="1">
      <c r="A200" s="93"/>
      <c r="B200" s="93"/>
      <c r="C200" s="91"/>
      <c r="D200" s="10"/>
      <c r="E200" s="8"/>
      <c r="F200" s="91"/>
      <c r="G200" s="8"/>
      <c r="H200" s="92" t="str">
        <f t="array" ref="H200">IFS(F200="", "",F200="Organizer", 0.5, F200="Team Leader", 0.5, F200="Participant", 0.25, F200="Performer", 0.25)</f>
        <v/>
      </c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5.0" customHeight="1">
      <c r="A201" s="93"/>
      <c r="B201" s="93"/>
      <c r="C201" s="91"/>
      <c r="D201" s="10"/>
      <c r="E201" s="8"/>
      <c r="F201" s="91"/>
      <c r="G201" s="8"/>
      <c r="H201" s="92" t="str">
        <f t="array" ref="H201">IFS(F201="", "",F201="Organizer", 0.5, F201="Team Leader", 0.5, F201="Participant", 0.25, F201="Performer", 0.25)</f>
        <v/>
      </c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5.0" customHeight="1">
      <c r="A202" s="93"/>
      <c r="B202" s="93"/>
      <c r="C202" s="91"/>
      <c r="D202" s="10"/>
      <c r="E202" s="8"/>
      <c r="F202" s="91"/>
      <c r="G202" s="8"/>
      <c r="H202" s="92" t="str">
        <f t="array" ref="H202">IFS(F202="", "",F202="Organizer", 0.5, F202="Team Leader", 0.5, F202="Participant", 0.25, F202="Performer", 0.25)</f>
        <v/>
      </c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5.0" customHeight="1">
      <c r="A203" s="93"/>
      <c r="B203" s="93"/>
      <c r="C203" s="91"/>
      <c r="D203" s="10"/>
      <c r="E203" s="8"/>
      <c r="F203" s="91"/>
      <c r="G203" s="8"/>
      <c r="H203" s="92" t="str">
        <f t="array" ref="H203">IFS(F203="", "",F203="Organizer", 0.5, F203="Team Leader", 0.5, F203="Participant", 0.25, F203="Performer", 0.25)</f>
        <v/>
      </c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5.0" customHeight="1">
      <c r="A204" s="93"/>
      <c r="B204" s="93"/>
      <c r="C204" s="91"/>
      <c r="D204" s="10"/>
      <c r="E204" s="8"/>
      <c r="F204" s="91"/>
      <c r="G204" s="8"/>
      <c r="H204" s="92" t="str">
        <f t="array" ref="H204">IFS(F204="", "",F204="Organizer", 0.5, F204="Team Leader", 0.5, F204="Participant", 0.25, F204="Performer", 0.25)</f>
        <v/>
      </c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5.0" customHeight="1">
      <c r="A205" s="93"/>
      <c r="B205" s="93"/>
      <c r="C205" s="91"/>
      <c r="D205" s="10"/>
      <c r="E205" s="8"/>
      <c r="F205" s="91"/>
      <c r="G205" s="8"/>
      <c r="H205" s="92" t="str">
        <f t="array" ref="H205">IFS(F205="", "",F205="Organizer", 0.5, F205="Team Leader", 0.5, F205="Participant", 0.25, F205="Performer", 0.25)</f>
        <v/>
      </c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5.0" customHeight="1">
      <c r="A206" s="93"/>
      <c r="B206" s="93"/>
      <c r="C206" s="91"/>
      <c r="D206" s="10"/>
      <c r="E206" s="8"/>
      <c r="F206" s="91"/>
      <c r="G206" s="8"/>
      <c r="H206" s="92" t="str">
        <f t="array" ref="H206">IFS(F206="", "",F206="Organizer", 0.5, F206="Team Leader", 0.5, F206="Participant", 0.25, F206="Performer", 0.25)</f>
        <v/>
      </c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5.0" customHeight="1">
      <c r="A207" s="93"/>
      <c r="B207" s="93"/>
      <c r="C207" s="91"/>
      <c r="D207" s="10"/>
      <c r="E207" s="8"/>
      <c r="F207" s="91"/>
      <c r="G207" s="8"/>
      <c r="H207" s="92" t="str">
        <f t="array" ref="H207">IFS(F207="", "",F207="Organizer", 0.5, F207="Team Leader", 0.5, F207="Participant", 0.25, F207="Performer", 0.25)</f>
        <v/>
      </c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5.0" customHeight="1">
      <c r="A208" s="93"/>
      <c r="B208" s="93"/>
      <c r="C208" s="91"/>
      <c r="D208" s="10"/>
      <c r="E208" s="8"/>
      <c r="F208" s="91"/>
      <c r="G208" s="8"/>
      <c r="H208" s="92" t="str">
        <f t="array" ref="H208">IFS(F208="", "",F208="Organizer", 0.5, F208="Team Leader", 0.5, F208="Participant", 0.25, F208="Performer", 0.25)</f>
        <v/>
      </c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5.0" customHeight="1">
      <c r="A209" s="93"/>
      <c r="B209" s="93"/>
      <c r="C209" s="91"/>
      <c r="D209" s="10"/>
      <c r="E209" s="8"/>
      <c r="F209" s="91"/>
      <c r="G209" s="8"/>
      <c r="H209" s="92" t="str">
        <f t="array" ref="H209">IFS(F209="", "",F209="Organizer", 0.5, F209="Team Leader", 0.5, F209="Participant", 0.25, F209="Performer", 0.25)</f>
        <v/>
      </c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5.0" customHeight="1">
      <c r="A210" s="107" t="s">
        <v>49</v>
      </c>
      <c r="B210" s="108"/>
      <c r="C210" s="108"/>
      <c r="D210" s="108"/>
      <c r="E210" s="108"/>
      <c r="F210" s="108"/>
      <c r="G210" s="109"/>
      <c r="H210" s="110">
        <f>SUM(H160:H209)</f>
        <v>1</v>
      </c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5.75" customHeight="1">
      <c r="A211" s="76" t="s">
        <v>118</v>
      </c>
      <c r="B211" s="5"/>
      <c r="C211" s="5"/>
      <c r="D211" s="5"/>
      <c r="E211" s="5"/>
      <c r="F211" s="5"/>
      <c r="G211" s="5"/>
      <c r="H211" s="6"/>
    </row>
    <row r="212" ht="15.75" customHeight="1">
      <c r="A212" s="19" t="s">
        <v>52</v>
      </c>
      <c r="B212" s="10"/>
      <c r="C212" s="10"/>
      <c r="D212" s="10"/>
      <c r="E212" s="10"/>
      <c r="F212" s="8"/>
      <c r="G212" s="111" t="s">
        <v>49</v>
      </c>
      <c r="H212" s="104">
        <f>H51</f>
        <v>27</v>
      </c>
    </row>
    <row r="213" ht="15.75" customHeight="1">
      <c r="A213" s="19" t="s">
        <v>53</v>
      </c>
      <c r="B213" s="10"/>
      <c r="C213" s="10"/>
      <c r="D213" s="10"/>
      <c r="E213" s="10"/>
      <c r="F213" s="8"/>
      <c r="G213" s="111" t="s">
        <v>49</v>
      </c>
      <c r="H213" s="104">
        <f>H104</f>
        <v>6</v>
      </c>
    </row>
    <row r="214" ht="15.75" customHeight="1">
      <c r="A214" s="19" t="s">
        <v>119</v>
      </c>
      <c r="B214" s="10"/>
      <c r="C214" s="10"/>
      <c r="D214" s="10"/>
      <c r="E214" s="10"/>
      <c r="F214" s="8"/>
      <c r="G214" s="111" t="s">
        <v>49</v>
      </c>
      <c r="H214" s="104">
        <f>H157</f>
        <v>3</v>
      </c>
    </row>
    <row r="215" ht="15.75" customHeight="1">
      <c r="A215" s="19" t="s">
        <v>120</v>
      </c>
      <c r="B215" s="10"/>
      <c r="C215" s="10"/>
      <c r="D215" s="10"/>
      <c r="E215" s="10"/>
      <c r="F215" s="8"/>
      <c r="G215" s="111" t="s">
        <v>49</v>
      </c>
      <c r="H215" s="104">
        <f>H210</f>
        <v>1</v>
      </c>
    </row>
    <row r="216" ht="15.75" customHeight="1">
      <c r="A216" s="61" t="s">
        <v>13</v>
      </c>
      <c r="B216" s="15"/>
      <c r="C216" s="15"/>
      <c r="D216" s="15"/>
      <c r="E216" s="15"/>
      <c r="F216" s="15"/>
      <c r="G216" s="13"/>
      <c r="H216" s="105">
        <f>MIN(SUM(H212:H215),18)</f>
        <v>18</v>
      </c>
    </row>
    <row r="217" ht="15.75" customHeight="1">
      <c r="A217" s="79"/>
      <c r="B217" s="79"/>
      <c r="C217" s="79"/>
      <c r="D217" s="79"/>
      <c r="E217" s="79"/>
      <c r="F217" s="79"/>
      <c r="G217" s="79"/>
      <c r="H217" s="80"/>
    </row>
    <row r="218" ht="15.75" customHeight="1">
      <c r="A218" s="79"/>
      <c r="B218" s="79"/>
      <c r="C218" s="79"/>
      <c r="D218" s="79"/>
      <c r="E218" s="79"/>
      <c r="F218" s="79"/>
      <c r="G218" s="79"/>
      <c r="H218" s="80"/>
    </row>
    <row r="219" ht="15.75" customHeight="1">
      <c r="A219" s="79"/>
      <c r="B219" s="79"/>
      <c r="C219" s="79"/>
      <c r="D219" s="79"/>
      <c r="E219" s="79"/>
      <c r="F219" s="79"/>
      <c r="G219" s="79"/>
      <c r="H219" s="80"/>
    </row>
    <row r="220" ht="15.75" customHeight="1">
      <c r="A220" s="79"/>
      <c r="B220" s="79"/>
      <c r="C220" s="79"/>
      <c r="D220" s="79"/>
      <c r="E220" s="79"/>
      <c r="F220" s="79"/>
      <c r="G220" s="79"/>
      <c r="H220" s="80"/>
    </row>
    <row r="221" ht="15.75" customHeight="1">
      <c r="A221" s="79"/>
      <c r="B221" s="79"/>
      <c r="C221" s="79"/>
      <c r="D221" s="79"/>
      <c r="E221" s="79"/>
      <c r="F221" s="79"/>
      <c r="G221" s="79"/>
      <c r="H221" s="80"/>
    </row>
    <row r="222" ht="15.75" customHeight="1">
      <c r="A222" s="79"/>
      <c r="B222" s="79"/>
      <c r="C222" s="79"/>
      <c r="D222" s="79"/>
      <c r="E222" s="79"/>
      <c r="F222" s="79"/>
      <c r="G222" s="79"/>
      <c r="H222" s="80"/>
    </row>
    <row r="223" ht="15.75" customHeight="1">
      <c r="A223" s="79"/>
      <c r="B223" s="79"/>
      <c r="C223" s="79"/>
      <c r="D223" s="79"/>
      <c r="E223" s="79"/>
      <c r="F223" s="79"/>
      <c r="G223" s="79"/>
      <c r="H223" s="80"/>
    </row>
    <row r="224" ht="15.75" customHeight="1">
      <c r="A224" s="79"/>
      <c r="B224" s="79"/>
      <c r="C224" s="79"/>
      <c r="D224" s="79"/>
      <c r="E224" s="79"/>
      <c r="F224" s="79"/>
      <c r="G224" s="79"/>
      <c r="H224" s="80"/>
    </row>
    <row r="225" ht="15.75" customHeight="1">
      <c r="A225" s="79"/>
      <c r="B225" s="79"/>
      <c r="C225" s="79"/>
      <c r="D225" s="79"/>
      <c r="E225" s="79"/>
      <c r="F225" s="79"/>
      <c r="G225" s="79"/>
      <c r="H225" s="80"/>
    </row>
    <row r="226" ht="15.75" customHeight="1">
      <c r="A226" s="79"/>
      <c r="B226" s="79"/>
      <c r="C226" s="79"/>
      <c r="D226" s="79"/>
      <c r="E226" s="79"/>
      <c r="F226" s="79"/>
      <c r="G226" s="79"/>
      <c r="H226" s="80"/>
    </row>
    <row r="227" ht="15.75" customHeight="1">
      <c r="A227" s="79"/>
      <c r="B227" s="79"/>
      <c r="C227" s="79"/>
      <c r="D227" s="79"/>
      <c r="E227" s="79"/>
      <c r="F227" s="79"/>
      <c r="G227" s="79"/>
      <c r="H227" s="80"/>
    </row>
    <row r="228" ht="15.75" customHeight="1">
      <c r="A228" s="79"/>
      <c r="B228" s="79"/>
      <c r="C228" s="79"/>
      <c r="D228" s="79"/>
      <c r="E228" s="79"/>
      <c r="F228" s="79"/>
      <c r="G228" s="79"/>
      <c r="H228" s="80"/>
    </row>
    <row r="229" ht="15.75" customHeight="1">
      <c r="A229" s="79"/>
      <c r="B229" s="79"/>
      <c r="C229" s="79"/>
      <c r="D229" s="79"/>
      <c r="E229" s="79"/>
      <c r="F229" s="79"/>
      <c r="G229" s="79"/>
      <c r="H229" s="80"/>
    </row>
    <row r="230" ht="15.75" customHeight="1">
      <c r="A230" s="79"/>
      <c r="B230" s="79"/>
      <c r="C230" s="79"/>
      <c r="D230" s="79"/>
      <c r="E230" s="79"/>
      <c r="F230" s="79"/>
      <c r="G230" s="79"/>
      <c r="H230" s="80"/>
    </row>
    <row r="231" ht="15.75" customHeight="1">
      <c r="A231" s="79"/>
      <c r="B231" s="79"/>
      <c r="C231" s="79"/>
      <c r="D231" s="79"/>
      <c r="E231" s="79"/>
      <c r="F231" s="79"/>
      <c r="G231" s="79"/>
      <c r="H231" s="80"/>
    </row>
    <row r="232" ht="15.75" customHeight="1">
      <c r="A232" s="79"/>
      <c r="B232" s="79"/>
      <c r="C232" s="79"/>
      <c r="D232" s="79"/>
      <c r="E232" s="79"/>
      <c r="F232" s="79"/>
      <c r="G232" s="79"/>
      <c r="H232" s="80"/>
    </row>
    <row r="233" ht="15.75" customHeight="1">
      <c r="A233" s="79"/>
      <c r="B233" s="79"/>
      <c r="C233" s="79"/>
      <c r="D233" s="79"/>
      <c r="E233" s="79"/>
      <c r="F233" s="79"/>
      <c r="G233" s="79"/>
      <c r="H233" s="80"/>
    </row>
    <row r="234" ht="15.75" customHeight="1"/>
    <row r="235" ht="15.75" customHeight="1">
      <c r="A235" s="25" t="s">
        <v>21</v>
      </c>
      <c r="B235" s="106"/>
      <c r="C235" s="26"/>
      <c r="D235" s="26"/>
      <c r="E235" s="26"/>
      <c r="F235" s="26"/>
      <c r="G235" s="26"/>
      <c r="H235" s="27"/>
    </row>
    <row r="236" ht="15.75" customHeight="1">
      <c r="A236" s="28"/>
      <c r="B236" s="51"/>
      <c r="H236" s="29"/>
    </row>
    <row r="237" ht="15.75" customHeight="1">
      <c r="A237" s="30" t="s">
        <v>22</v>
      </c>
      <c r="B237" s="31"/>
      <c r="C237" s="31"/>
      <c r="D237" s="31"/>
      <c r="F237" s="32" t="s">
        <v>23</v>
      </c>
      <c r="G237" s="31"/>
      <c r="H237" s="33"/>
    </row>
    <row r="238" ht="15.75" customHeight="1">
      <c r="A238" s="85" t="s">
        <v>24</v>
      </c>
      <c r="F238" s="1" t="s">
        <v>25</v>
      </c>
      <c r="H238" s="36"/>
    </row>
    <row r="239" ht="15.75" customHeight="1">
      <c r="A239" s="37" t="s">
        <v>26</v>
      </c>
      <c r="F239" s="38" t="s">
        <v>26</v>
      </c>
      <c r="H239" s="36"/>
    </row>
    <row r="240" ht="15.75" customHeight="1">
      <c r="A240" s="28"/>
      <c r="B240" s="51"/>
      <c r="H240" s="29"/>
    </row>
    <row r="241" ht="15.75" customHeight="1">
      <c r="A241" s="28"/>
      <c r="B241" s="51"/>
      <c r="D241" s="32" t="s">
        <v>55</v>
      </c>
      <c r="E241" s="31"/>
      <c r="F241" s="31"/>
      <c r="H241" s="29"/>
    </row>
    <row r="242" ht="15.75" customHeight="1">
      <c r="A242" s="28"/>
      <c r="B242" s="51"/>
      <c r="D242" s="1" t="s">
        <v>24</v>
      </c>
      <c r="H242" s="29"/>
    </row>
    <row r="243" ht="15.75" customHeight="1">
      <c r="A243" s="39"/>
      <c r="B243" s="40"/>
      <c r="C243" s="40"/>
      <c r="D243" s="41" t="s">
        <v>26</v>
      </c>
      <c r="E243" s="42"/>
      <c r="F243" s="42"/>
      <c r="G243" s="40"/>
      <c r="H243" s="4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7">
    <mergeCell ref="C95:E95"/>
    <mergeCell ref="F95:G95"/>
    <mergeCell ref="C96:E96"/>
    <mergeCell ref="F96:G96"/>
    <mergeCell ref="C97:E97"/>
    <mergeCell ref="F97:G97"/>
    <mergeCell ref="F98:G98"/>
    <mergeCell ref="C98:E98"/>
    <mergeCell ref="C99:E99"/>
    <mergeCell ref="F99:G99"/>
    <mergeCell ref="C100:E100"/>
    <mergeCell ref="F100:G100"/>
    <mergeCell ref="C101:E101"/>
    <mergeCell ref="F101:G101"/>
    <mergeCell ref="C31:E31"/>
    <mergeCell ref="F31:G31"/>
    <mergeCell ref="C32:E32"/>
    <mergeCell ref="F32:G32"/>
    <mergeCell ref="C33:E33"/>
    <mergeCell ref="F33:G33"/>
    <mergeCell ref="F34:G34"/>
    <mergeCell ref="C34:E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F48:G48"/>
    <mergeCell ref="C48:E48"/>
    <mergeCell ref="C49:E49"/>
    <mergeCell ref="F49:G49"/>
    <mergeCell ref="C50:E50"/>
    <mergeCell ref="F50:G50"/>
    <mergeCell ref="A51:G51"/>
    <mergeCell ref="A52:H52"/>
    <mergeCell ref="C102:E102"/>
    <mergeCell ref="F102:G102"/>
    <mergeCell ref="C103:E103"/>
    <mergeCell ref="F103:G103"/>
    <mergeCell ref="A104:G104"/>
    <mergeCell ref="A105:H105"/>
    <mergeCell ref="F106:G106"/>
    <mergeCell ref="C106:E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F113:G113"/>
    <mergeCell ref="C113:E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18:E118"/>
    <mergeCell ref="F118:G118"/>
    <mergeCell ref="C119:E119"/>
    <mergeCell ref="F119:G119"/>
    <mergeCell ref="F120:G120"/>
    <mergeCell ref="C120:E120"/>
    <mergeCell ref="C121:E121"/>
    <mergeCell ref="F121:G121"/>
    <mergeCell ref="C122:E122"/>
    <mergeCell ref="F122:G12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F127:G127"/>
    <mergeCell ref="C127:E127"/>
    <mergeCell ref="C128:E128"/>
    <mergeCell ref="F128:G128"/>
    <mergeCell ref="C129:E129"/>
    <mergeCell ref="F129:G129"/>
    <mergeCell ref="C130:E130"/>
    <mergeCell ref="F130:G130"/>
    <mergeCell ref="C131:E131"/>
    <mergeCell ref="F131:G131"/>
    <mergeCell ref="C132:E132"/>
    <mergeCell ref="F132:G132"/>
    <mergeCell ref="C133:E133"/>
    <mergeCell ref="F133:G133"/>
    <mergeCell ref="F134:G134"/>
    <mergeCell ref="C134:E134"/>
    <mergeCell ref="C135:E135"/>
    <mergeCell ref="F135:G135"/>
    <mergeCell ref="C136:E136"/>
    <mergeCell ref="F136:G136"/>
    <mergeCell ref="C137:E137"/>
    <mergeCell ref="F137:G137"/>
    <mergeCell ref="C138:E138"/>
    <mergeCell ref="F138:G138"/>
    <mergeCell ref="C139:E139"/>
    <mergeCell ref="F139:G139"/>
    <mergeCell ref="C140:E140"/>
    <mergeCell ref="F140:G140"/>
    <mergeCell ref="F141:G141"/>
    <mergeCell ref="C141:E141"/>
    <mergeCell ref="C142:E142"/>
    <mergeCell ref="F142:G142"/>
    <mergeCell ref="C143:E143"/>
    <mergeCell ref="F143:G143"/>
    <mergeCell ref="C144:E144"/>
    <mergeCell ref="F144:G144"/>
    <mergeCell ref="C145:E145"/>
    <mergeCell ref="F145:G145"/>
    <mergeCell ref="C146:E146"/>
    <mergeCell ref="F146:G146"/>
    <mergeCell ref="C147:E147"/>
    <mergeCell ref="F147:G147"/>
    <mergeCell ref="F148:G148"/>
    <mergeCell ref="C148:E148"/>
    <mergeCell ref="C149:E149"/>
    <mergeCell ref="F149:G149"/>
    <mergeCell ref="C150:E150"/>
    <mergeCell ref="F150:G150"/>
    <mergeCell ref="C151:E151"/>
    <mergeCell ref="F151:G151"/>
    <mergeCell ref="C152:E152"/>
    <mergeCell ref="F152:G152"/>
    <mergeCell ref="C153:E153"/>
    <mergeCell ref="F153:G153"/>
    <mergeCell ref="C154:E154"/>
    <mergeCell ref="F154:G154"/>
    <mergeCell ref="F155:G155"/>
    <mergeCell ref="C155:E155"/>
    <mergeCell ref="C156:E156"/>
    <mergeCell ref="F156:G156"/>
    <mergeCell ref="A157:G157"/>
    <mergeCell ref="A158:H158"/>
    <mergeCell ref="C159:E159"/>
    <mergeCell ref="F159:G159"/>
    <mergeCell ref="C160:E160"/>
    <mergeCell ref="F160:G160"/>
    <mergeCell ref="C161:E161"/>
    <mergeCell ref="F161:G161"/>
    <mergeCell ref="C162:E162"/>
    <mergeCell ref="F162:G162"/>
    <mergeCell ref="F163:G163"/>
    <mergeCell ref="C163:E163"/>
    <mergeCell ref="C164:E164"/>
    <mergeCell ref="F164:G164"/>
    <mergeCell ref="C165:E165"/>
    <mergeCell ref="F165:G165"/>
    <mergeCell ref="C166:E166"/>
    <mergeCell ref="F166:G166"/>
    <mergeCell ref="C167:E167"/>
    <mergeCell ref="F167:G167"/>
    <mergeCell ref="C168:E168"/>
    <mergeCell ref="F168:G168"/>
    <mergeCell ref="C169:E169"/>
    <mergeCell ref="F169:G169"/>
    <mergeCell ref="F170:G170"/>
    <mergeCell ref="C170:E170"/>
    <mergeCell ref="C171:E171"/>
    <mergeCell ref="F171:G171"/>
    <mergeCell ref="C172:E172"/>
    <mergeCell ref="F172:G172"/>
    <mergeCell ref="C173:E173"/>
    <mergeCell ref="F173:G173"/>
    <mergeCell ref="C174:E174"/>
    <mergeCell ref="F174:G174"/>
    <mergeCell ref="C175:E175"/>
    <mergeCell ref="F175:G175"/>
    <mergeCell ref="C176:E176"/>
    <mergeCell ref="F176:G176"/>
    <mergeCell ref="F177:G177"/>
    <mergeCell ref="C177:E177"/>
    <mergeCell ref="C178:E178"/>
    <mergeCell ref="F178:G178"/>
    <mergeCell ref="C179:E179"/>
    <mergeCell ref="F179:G179"/>
    <mergeCell ref="C180:E180"/>
    <mergeCell ref="F180:G180"/>
    <mergeCell ref="C202:E202"/>
    <mergeCell ref="F202:G202"/>
    <mergeCell ref="C203:E203"/>
    <mergeCell ref="F203:G203"/>
    <mergeCell ref="C204:E204"/>
    <mergeCell ref="F204:G204"/>
    <mergeCell ref="F205:G205"/>
    <mergeCell ref="C205:E205"/>
    <mergeCell ref="C206:E206"/>
    <mergeCell ref="F206:G206"/>
    <mergeCell ref="C207:E207"/>
    <mergeCell ref="F207:G207"/>
    <mergeCell ref="C208:E208"/>
    <mergeCell ref="F208:G208"/>
    <mergeCell ref="A210:G210"/>
    <mergeCell ref="A211:H211"/>
    <mergeCell ref="A212:F212"/>
    <mergeCell ref="A213:F213"/>
    <mergeCell ref="A214:F214"/>
    <mergeCell ref="A215:F215"/>
    <mergeCell ref="A216:G216"/>
    <mergeCell ref="D242:F242"/>
    <mergeCell ref="D243:F243"/>
    <mergeCell ref="A237:D237"/>
    <mergeCell ref="F237:H237"/>
    <mergeCell ref="A238:D238"/>
    <mergeCell ref="F238:H238"/>
    <mergeCell ref="A239:D239"/>
    <mergeCell ref="F239:H239"/>
    <mergeCell ref="D241:F241"/>
    <mergeCell ref="C181:E181"/>
    <mergeCell ref="F181:G181"/>
    <mergeCell ref="C182:E182"/>
    <mergeCell ref="F182:G182"/>
    <mergeCell ref="C183:E183"/>
    <mergeCell ref="F183:G183"/>
    <mergeCell ref="F184:G184"/>
    <mergeCell ref="C184:E184"/>
    <mergeCell ref="C185:E185"/>
    <mergeCell ref="F185:G185"/>
    <mergeCell ref="C186:E186"/>
    <mergeCell ref="F186:G186"/>
    <mergeCell ref="C187:E187"/>
    <mergeCell ref="F187:G187"/>
    <mergeCell ref="C188:E188"/>
    <mergeCell ref="F188:G188"/>
    <mergeCell ref="C189:E189"/>
    <mergeCell ref="F189:G189"/>
    <mergeCell ref="C190:E190"/>
    <mergeCell ref="F190:G190"/>
    <mergeCell ref="F191:G191"/>
    <mergeCell ref="C191:E191"/>
    <mergeCell ref="C192:E192"/>
    <mergeCell ref="F192:G192"/>
    <mergeCell ref="C193:E193"/>
    <mergeCell ref="F193:G193"/>
    <mergeCell ref="C194:E194"/>
    <mergeCell ref="F194:G194"/>
    <mergeCell ref="C195:E195"/>
    <mergeCell ref="F195:G195"/>
    <mergeCell ref="C196:E196"/>
    <mergeCell ref="F196:G196"/>
    <mergeCell ref="C197:E197"/>
    <mergeCell ref="F197:G197"/>
    <mergeCell ref="F198:G198"/>
    <mergeCell ref="C198:E198"/>
    <mergeCell ref="C199:E199"/>
    <mergeCell ref="F199:G199"/>
    <mergeCell ref="C200:E200"/>
    <mergeCell ref="F200:G200"/>
    <mergeCell ref="C201:E201"/>
    <mergeCell ref="F201:G201"/>
    <mergeCell ref="C209:E209"/>
    <mergeCell ref="F209:G209"/>
    <mergeCell ref="A1:H1"/>
    <mergeCell ref="K1:L1"/>
    <mergeCell ref="A2:H2"/>
    <mergeCell ref="A4:H4"/>
    <mergeCell ref="A6:C6"/>
    <mergeCell ref="D6:H6"/>
    <mergeCell ref="D7:H7"/>
    <mergeCell ref="A7:C7"/>
    <mergeCell ref="A8:C8"/>
    <mergeCell ref="D8:H8"/>
    <mergeCell ref="A10:F10"/>
    <mergeCell ref="A11:H11"/>
    <mergeCell ref="A12:H12"/>
    <mergeCell ref="F13:G13"/>
    <mergeCell ref="C13:E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F20:G20"/>
    <mergeCell ref="C20:E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F27:G27"/>
    <mergeCell ref="C27:E27"/>
    <mergeCell ref="C28:E28"/>
    <mergeCell ref="F28:G28"/>
    <mergeCell ref="C29:E29"/>
    <mergeCell ref="F29:G29"/>
    <mergeCell ref="C30:E30"/>
    <mergeCell ref="F30:G30"/>
    <mergeCell ref="C53:E53"/>
    <mergeCell ref="F53:G53"/>
    <mergeCell ref="C54:E54"/>
    <mergeCell ref="F54:G54"/>
    <mergeCell ref="C55:E55"/>
    <mergeCell ref="F55:G55"/>
    <mergeCell ref="F56:G56"/>
    <mergeCell ref="C56:E56"/>
    <mergeCell ref="C57:E57"/>
    <mergeCell ref="F57:G57"/>
    <mergeCell ref="C58:E58"/>
    <mergeCell ref="F58:G58"/>
    <mergeCell ref="C59:E59"/>
    <mergeCell ref="F59:G59"/>
    <mergeCell ref="C60:E60"/>
    <mergeCell ref="F60:G60"/>
    <mergeCell ref="C61:E61"/>
    <mergeCell ref="F61:G61"/>
    <mergeCell ref="C62:E62"/>
    <mergeCell ref="F62:G62"/>
    <mergeCell ref="F63:G63"/>
    <mergeCell ref="C63:E63"/>
    <mergeCell ref="C64:E64"/>
    <mergeCell ref="F64:G64"/>
    <mergeCell ref="C65:E65"/>
    <mergeCell ref="F65:G65"/>
    <mergeCell ref="C66:E66"/>
    <mergeCell ref="F66:G66"/>
    <mergeCell ref="C67:E67"/>
    <mergeCell ref="F67:G67"/>
    <mergeCell ref="C68:E68"/>
    <mergeCell ref="F68:G68"/>
    <mergeCell ref="C69:E69"/>
    <mergeCell ref="F69:G69"/>
    <mergeCell ref="F70:G70"/>
    <mergeCell ref="C70:E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C76:E76"/>
    <mergeCell ref="F76:G76"/>
    <mergeCell ref="F77:G77"/>
    <mergeCell ref="C77:E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C83:E83"/>
    <mergeCell ref="F83:G83"/>
    <mergeCell ref="F84:G84"/>
    <mergeCell ref="C84:E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C90:E90"/>
    <mergeCell ref="F90:G90"/>
    <mergeCell ref="F91:G91"/>
    <mergeCell ref="C91:E91"/>
    <mergeCell ref="C92:E92"/>
    <mergeCell ref="F92:G92"/>
    <mergeCell ref="C93:E93"/>
    <mergeCell ref="F93:G93"/>
    <mergeCell ref="C94:E94"/>
    <mergeCell ref="F94:G94"/>
  </mergeCells>
  <dataValidations>
    <dataValidation type="list" allowBlank="1" showErrorMessage="1" sqref="F14:F50 F54:F103 F107:F156 F160:F209">
      <formula1>$I$14:$I$17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0.78"/>
    <col customWidth="1" min="3" max="3" width="9.33"/>
    <col customWidth="1" min="4" max="4" width="10.89"/>
    <col customWidth="1" min="5" max="5" width="3.22"/>
    <col customWidth="1" min="6" max="6" width="8.89"/>
    <col customWidth="1" min="7" max="7" width="5.89"/>
    <col customWidth="1" min="8" max="8" width="12.78"/>
    <col customWidth="1" hidden="1" min="9" max="11" width="10.78"/>
    <col customWidth="1" hidden="1" min="12" max="12" width="10.89"/>
    <col customWidth="1" min="13" max="26" width="10.89"/>
  </cols>
  <sheetData>
    <row r="1">
      <c r="A1" s="1" t="s">
        <v>28</v>
      </c>
      <c r="I1" s="44" t="s">
        <v>29</v>
      </c>
      <c r="J1" s="44" t="s">
        <v>30</v>
      </c>
      <c r="K1" s="45"/>
    </row>
    <row r="2">
      <c r="A2" s="1" t="s">
        <v>1</v>
      </c>
      <c r="I2" s="46">
        <v>1.0</v>
      </c>
      <c r="J2" s="46">
        <v>30.0</v>
      </c>
    </row>
    <row r="3">
      <c r="I3" s="47">
        <v>1.07</v>
      </c>
      <c r="J3" s="47">
        <v>29.0</v>
      </c>
      <c r="K3" s="44" t="s">
        <v>31</v>
      </c>
    </row>
    <row r="4">
      <c r="A4" s="1" t="s">
        <v>101</v>
      </c>
      <c r="I4" s="47">
        <v>1.14</v>
      </c>
      <c r="J4" s="47">
        <v>28.0</v>
      </c>
      <c r="K4" s="44" t="s">
        <v>33</v>
      </c>
    </row>
    <row r="5">
      <c r="I5" s="47">
        <v>1.21</v>
      </c>
      <c r="J5" s="47">
        <v>27.0</v>
      </c>
      <c r="K5" s="44" t="s">
        <v>34</v>
      </c>
    </row>
    <row r="6">
      <c r="A6" s="48" t="s">
        <v>3</v>
      </c>
      <c r="B6" s="5"/>
      <c r="C6" s="3"/>
      <c r="D6" s="49" t="str">
        <f>SUMMARY!C6</f>
        <v/>
      </c>
      <c r="E6" s="5"/>
      <c r="F6" s="5"/>
      <c r="G6" s="5"/>
      <c r="H6" s="6"/>
      <c r="I6" s="47">
        <v>1.28</v>
      </c>
      <c r="J6" s="47">
        <v>26.0</v>
      </c>
      <c r="K6" s="44" t="s">
        <v>35</v>
      </c>
    </row>
    <row r="7">
      <c r="A7" s="19" t="s">
        <v>4</v>
      </c>
      <c r="B7" s="10"/>
      <c r="C7" s="8"/>
      <c r="D7" s="50" t="str">
        <f>SUMMARY!C7</f>
        <v/>
      </c>
      <c r="E7" s="10"/>
      <c r="F7" s="10"/>
      <c r="G7" s="10"/>
      <c r="H7" s="11"/>
      <c r="I7" s="47">
        <v>1.35</v>
      </c>
      <c r="J7" s="47">
        <v>25.0</v>
      </c>
      <c r="K7" s="51" t="s">
        <v>36</v>
      </c>
      <c r="L7" s="51"/>
    </row>
    <row r="8">
      <c r="A8" s="52" t="s">
        <v>5</v>
      </c>
      <c r="B8" s="15"/>
      <c r="C8" s="13"/>
      <c r="D8" s="53" t="str">
        <f>SUMMARY!C8</f>
        <v/>
      </c>
      <c r="E8" s="15"/>
      <c r="F8" s="15"/>
      <c r="G8" s="15"/>
      <c r="H8" s="16"/>
      <c r="I8" s="47">
        <v>1.41</v>
      </c>
      <c r="J8" s="47">
        <v>24.0</v>
      </c>
      <c r="K8" s="44" t="s">
        <v>37</v>
      </c>
    </row>
    <row r="9">
      <c r="I9" s="47">
        <v>1.48</v>
      </c>
      <c r="J9" s="47">
        <v>23.0</v>
      </c>
      <c r="K9" s="44" t="s">
        <v>38</v>
      </c>
    </row>
    <row r="10">
      <c r="A10" s="86" t="s">
        <v>102</v>
      </c>
      <c r="B10" s="10"/>
      <c r="C10" s="10"/>
      <c r="D10" s="10"/>
      <c r="E10" s="10"/>
      <c r="F10" s="8"/>
      <c r="G10" s="87"/>
      <c r="H10" s="87"/>
      <c r="I10" s="64">
        <v>1.55</v>
      </c>
      <c r="J10" s="47">
        <v>22.0</v>
      </c>
      <c r="K10" s="44" t="s">
        <v>40</v>
      </c>
    </row>
    <row r="11" ht="16.5" customHeight="1">
      <c r="A11" s="88" t="s">
        <v>121</v>
      </c>
      <c r="B11" s="10"/>
      <c r="C11" s="10"/>
      <c r="D11" s="10"/>
      <c r="E11" s="10"/>
      <c r="F11" s="10"/>
      <c r="G11" s="10"/>
      <c r="H11" s="8"/>
      <c r="I11" s="64"/>
      <c r="J11" s="47"/>
    </row>
    <row r="12">
      <c r="A12" s="88" t="s">
        <v>122</v>
      </c>
      <c r="B12" s="10"/>
      <c r="C12" s="10"/>
      <c r="D12" s="10"/>
      <c r="E12" s="10"/>
      <c r="F12" s="10"/>
      <c r="G12" s="10"/>
      <c r="H12" s="8"/>
      <c r="I12" s="64"/>
      <c r="J12" s="47"/>
    </row>
    <row r="13" ht="50.25" customHeight="1">
      <c r="A13" s="89" t="s">
        <v>123</v>
      </c>
      <c r="B13" s="89" t="s">
        <v>106</v>
      </c>
      <c r="C13" s="90" t="s">
        <v>107</v>
      </c>
      <c r="D13" s="10"/>
      <c r="E13" s="8"/>
      <c r="F13" s="91" t="s">
        <v>108</v>
      </c>
      <c r="G13" s="8"/>
      <c r="H13" s="92" t="s">
        <v>48</v>
      </c>
      <c r="I13" s="64"/>
      <c r="J13" s="47"/>
    </row>
    <row r="14">
      <c r="A14" s="93"/>
      <c r="B14" s="93"/>
      <c r="C14" s="91"/>
      <c r="D14" s="10"/>
      <c r="E14" s="8"/>
      <c r="F14" s="91" t="s">
        <v>62</v>
      </c>
      <c r="G14" s="8"/>
      <c r="H14" s="92">
        <f t="array" ref="H14">IFS(F14="", "",F14="Organizer", 3, F14="Team Leader", 3, F14="Participant", 1.5, F14="Performer", 1.5)</f>
        <v>3</v>
      </c>
      <c r="I14" s="64" t="s">
        <v>62</v>
      </c>
      <c r="J14" s="47"/>
      <c r="K14" s="94">
        <f t="shared" ref="K14:K50" si="1">B14-A14</f>
        <v>0</v>
      </c>
      <c r="L14" s="44">
        <f>0.2*5</f>
        <v>1</v>
      </c>
    </row>
    <row r="15">
      <c r="A15" s="93"/>
      <c r="B15" s="93"/>
      <c r="C15" s="91"/>
      <c r="D15" s="10"/>
      <c r="E15" s="8"/>
      <c r="F15" s="91" t="s">
        <v>109</v>
      </c>
      <c r="G15" s="8"/>
      <c r="H15" s="92">
        <f t="array" ref="H15">IFS(F15="", "",F15="Organizer", 3, F15="Team Leader", 3, F15="Participant", 1.5, F15="Performer", 1.5)</f>
        <v>3</v>
      </c>
      <c r="I15" s="64" t="s">
        <v>109</v>
      </c>
      <c r="J15" s="47"/>
      <c r="K15" s="94">
        <f t="shared" si="1"/>
        <v>0</v>
      </c>
    </row>
    <row r="16">
      <c r="A16" s="93"/>
      <c r="B16" s="93"/>
      <c r="C16" s="91"/>
      <c r="D16" s="10"/>
      <c r="E16" s="8"/>
      <c r="F16" s="91" t="s">
        <v>62</v>
      </c>
      <c r="G16" s="8"/>
      <c r="H16" s="92">
        <f t="array" ref="H16">IFS(F16="", "",F16="Organizer", 3, F16="Team Leader", 3, F16="Participant", 1.5, F16="Performer", 1.5)</f>
        <v>3</v>
      </c>
      <c r="I16" s="64" t="s">
        <v>110</v>
      </c>
      <c r="J16" s="47"/>
      <c r="K16" s="94">
        <f t="shared" si="1"/>
        <v>0</v>
      </c>
    </row>
    <row r="17">
      <c r="A17" s="93"/>
      <c r="B17" s="93"/>
      <c r="C17" s="91"/>
      <c r="D17" s="10"/>
      <c r="E17" s="8"/>
      <c r="F17" s="91" t="s">
        <v>62</v>
      </c>
      <c r="G17" s="8"/>
      <c r="H17" s="92">
        <f t="array" ref="H17">IFS(F17="", "",F17="Organizer", 3, F17="Team Leader", 3, F17="Participant", 1.5, F17="Performer", 1.5)</f>
        <v>3</v>
      </c>
      <c r="I17" s="64" t="s">
        <v>111</v>
      </c>
      <c r="J17" s="47"/>
      <c r="K17" s="94">
        <f t="shared" si="1"/>
        <v>0</v>
      </c>
    </row>
    <row r="18">
      <c r="A18" s="93"/>
      <c r="B18" s="93"/>
      <c r="C18" s="91"/>
      <c r="D18" s="10"/>
      <c r="E18" s="8"/>
      <c r="F18" s="91" t="s">
        <v>62</v>
      </c>
      <c r="G18" s="8"/>
      <c r="H18" s="92">
        <f t="array" ref="H18">IFS(F18="", "",F18="Organizer", 3, F18="Team Leader", 3, F18="Participant", 1.5, F18="Performer", 1.5)</f>
        <v>3</v>
      </c>
      <c r="I18" s="64"/>
      <c r="J18" s="47"/>
      <c r="K18" s="94">
        <f t="shared" si="1"/>
        <v>0</v>
      </c>
    </row>
    <row r="19">
      <c r="A19" s="93"/>
      <c r="B19" s="93"/>
      <c r="C19" s="91"/>
      <c r="D19" s="10"/>
      <c r="E19" s="8"/>
      <c r="F19" s="91" t="s">
        <v>62</v>
      </c>
      <c r="G19" s="8"/>
      <c r="H19" s="92">
        <f t="array" ref="H19">IFS(F19="", "",F19="Organizer", 3, F19="Team Leader", 3, F19="Participant", 1.5, F19="Performer", 1.5)</f>
        <v>3</v>
      </c>
      <c r="I19" s="64"/>
      <c r="J19" s="47"/>
      <c r="K19" s="94">
        <f t="shared" si="1"/>
        <v>0</v>
      </c>
    </row>
    <row r="20">
      <c r="A20" s="93"/>
      <c r="B20" s="93"/>
      <c r="C20" s="91"/>
      <c r="D20" s="10"/>
      <c r="E20" s="8"/>
      <c r="F20" s="91" t="s">
        <v>62</v>
      </c>
      <c r="G20" s="8"/>
      <c r="H20" s="92">
        <f t="array" ref="H20">IFS(F20="", "",F20="Organizer", 3, F20="Team Leader", 3, F20="Participant", 1.5, F20="Performer", 1.5)</f>
        <v>3</v>
      </c>
      <c r="I20" s="64"/>
      <c r="J20" s="47"/>
      <c r="K20" s="94">
        <f t="shared" si="1"/>
        <v>0</v>
      </c>
    </row>
    <row r="21" ht="15.75" customHeight="1">
      <c r="A21" s="93"/>
      <c r="B21" s="93"/>
      <c r="C21" s="91"/>
      <c r="D21" s="10"/>
      <c r="E21" s="8"/>
      <c r="F21" s="91" t="s">
        <v>62</v>
      </c>
      <c r="G21" s="8"/>
      <c r="H21" s="92">
        <f t="array" ref="H21">IFS(F21="", "",F21="Organizer", 3, F21="Team Leader", 3, F21="Participant", 1.5, F21="Performer", 1.5)</f>
        <v>3</v>
      </c>
      <c r="I21" s="64"/>
      <c r="J21" s="47"/>
      <c r="K21" s="94">
        <f t="shared" si="1"/>
        <v>0</v>
      </c>
    </row>
    <row r="22" ht="15.75" customHeight="1">
      <c r="A22" s="93"/>
      <c r="B22" s="93"/>
      <c r="C22" s="91"/>
      <c r="D22" s="10"/>
      <c r="E22" s="8"/>
      <c r="F22" s="91" t="s">
        <v>62</v>
      </c>
      <c r="G22" s="8"/>
      <c r="H22" s="92">
        <f t="array" ref="H22">IFS(F22="", "",F22="Organizer", 3, F22="Team Leader", 3, F22="Participant", 1.5, F22="Performer", 1.5)</f>
        <v>3</v>
      </c>
      <c r="I22" s="64"/>
      <c r="J22" s="47"/>
      <c r="K22" s="94">
        <f t="shared" si="1"/>
        <v>0</v>
      </c>
    </row>
    <row r="23" ht="15.75" customHeight="1">
      <c r="A23" s="93"/>
      <c r="B23" s="93"/>
      <c r="C23" s="91"/>
      <c r="D23" s="10"/>
      <c r="E23" s="8"/>
      <c r="F23" s="91"/>
      <c r="G23" s="8"/>
      <c r="H23" s="92" t="str">
        <f t="array" ref="H23">IFS(F23="", "",F23="Organizer", 3, F23="Team Leader", 3, F23="Participant", 1.5, F23="Performer", 1.5)</f>
        <v/>
      </c>
      <c r="I23" s="64"/>
      <c r="J23" s="47"/>
      <c r="K23" s="94">
        <f t="shared" si="1"/>
        <v>0</v>
      </c>
    </row>
    <row r="24" ht="15.75" customHeight="1">
      <c r="A24" s="93"/>
      <c r="B24" s="93"/>
      <c r="C24" s="91"/>
      <c r="D24" s="10"/>
      <c r="E24" s="8"/>
      <c r="F24" s="91"/>
      <c r="G24" s="8"/>
      <c r="H24" s="92" t="str">
        <f t="array" ref="H24">IFS(F24="", "",F24="Organizer", 3, F24="Team Leader", 3, F24="Participant", 1.5, F24="Performer", 1.5)</f>
        <v/>
      </c>
      <c r="I24" s="64"/>
      <c r="J24" s="47"/>
      <c r="K24" s="94">
        <f t="shared" si="1"/>
        <v>0</v>
      </c>
    </row>
    <row r="25" ht="15.75" customHeight="1">
      <c r="A25" s="93"/>
      <c r="B25" s="93"/>
      <c r="C25" s="91"/>
      <c r="D25" s="10"/>
      <c r="E25" s="8"/>
      <c r="F25" s="91"/>
      <c r="G25" s="8"/>
      <c r="H25" s="92" t="str">
        <f t="array" ref="H25">IFS(F25="", "",F25="Organizer", 3, F25="Team Leader", 3, F25="Participant", 1.5, F25="Performer", 1.5)</f>
        <v/>
      </c>
      <c r="I25" s="64"/>
      <c r="J25" s="47"/>
      <c r="K25" s="94">
        <f t="shared" si="1"/>
        <v>0</v>
      </c>
    </row>
    <row r="26" ht="15.75" customHeight="1">
      <c r="A26" s="93"/>
      <c r="B26" s="93"/>
      <c r="C26" s="91"/>
      <c r="D26" s="10"/>
      <c r="E26" s="8"/>
      <c r="F26" s="91"/>
      <c r="G26" s="8"/>
      <c r="H26" s="92" t="str">
        <f t="array" ref="H26">IFS(F26="", "",F26="Organizer", 3, F26="Team Leader", 3, F26="Participant", 1.5, F26="Performer", 1.5)</f>
        <v/>
      </c>
      <c r="I26" s="64"/>
      <c r="J26" s="47"/>
      <c r="K26" s="94">
        <f t="shared" si="1"/>
        <v>0</v>
      </c>
    </row>
    <row r="27" ht="15.75" customHeight="1">
      <c r="A27" s="93"/>
      <c r="B27" s="93"/>
      <c r="C27" s="91"/>
      <c r="D27" s="10"/>
      <c r="E27" s="8"/>
      <c r="F27" s="91"/>
      <c r="G27" s="8"/>
      <c r="H27" s="92" t="str">
        <f t="array" ref="H27">IFS(F27="", "",F27="Organizer", 3, F27="Team Leader", 3, F27="Participant", 1.5, F27="Performer", 1.5)</f>
        <v/>
      </c>
      <c r="I27" s="64"/>
      <c r="J27" s="47"/>
      <c r="K27" s="94">
        <f t="shared" si="1"/>
        <v>0</v>
      </c>
    </row>
    <row r="28" ht="15.75" customHeight="1">
      <c r="A28" s="93"/>
      <c r="B28" s="93"/>
      <c r="C28" s="91"/>
      <c r="D28" s="10"/>
      <c r="E28" s="8"/>
      <c r="F28" s="91"/>
      <c r="G28" s="8"/>
      <c r="H28" s="92" t="str">
        <f t="array" ref="H28">IFS(F28="", "",F28="Organizer", 3, F28="Team Leader", 3, F28="Participant", 1.5, F28="Performer", 1.5)</f>
        <v/>
      </c>
      <c r="I28" s="64"/>
      <c r="J28" s="47"/>
      <c r="K28" s="94">
        <f t="shared" si="1"/>
        <v>0</v>
      </c>
    </row>
    <row r="29" ht="15.75" customHeight="1">
      <c r="A29" s="93"/>
      <c r="B29" s="93"/>
      <c r="C29" s="91"/>
      <c r="D29" s="10"/>
      <c r="E29" s="8"/>
      <c r="F29" s="91"/>
      <c r="G29" s="8"/>
      <c r="H29" s="92" t="str">
        <f t="array" ref="H29">IFS(F29="", "",F29="Organizer", 3, F29="Team Leader", 3, F29="Participant", 1.5, F29="Performer", 1.5)</f>
        <v/>
      </c>
      <c r="I29" s="64"/>
      <c r="J29" s="47"/>
      <c r="K29" s="94">
        <f t="shared" si="1"/>
        <v>0</v>
      </c>
    </row>
    <row r="30" ht="15.75" customHeight="1">
      <c r="A30" s="93"/>
      <c r="B30" s="93"/>
      <c r="C30" s="91"/>
      <c r="D30" s="10"/>
      <c r="E30" s="8"/>
      <c r="F30" s="91"/>
      <c r="G30" s="8"/>
      <c r="H30" s="92" t="str">
        <f t="array" ref="H30">IFS(F30="", "",F30="Organizer", 3, F30="Team Leader", 3, F30="Participant", 1.5, F30="Performer", 1.5)</f>
        <v/>
      </c>
      <c r="I30" s="64"/>
      <c r="J30" s="47"/>
      <c r="K30" s="94">
        <f t="shared" si="1"/>
        <v>0</v>
      </c>
    </row>
    <row r="31" ht="15.75" customHeight="1">
      <c r="A31" s="93"/>
      <c r="B31" s="93"/>
      <c r="C31" s="91"/>
      <c r="D31" s="10"/>
      <c r="E31" s="8"/>
      <c r="F31" s="91"/>
      <c r="G31" s="8"/>
      <c r="H31" s="92" t="str">
        <f t="array" ref="H31">IFS(F31="", "",F31="Organizer", 3, F31="Team Leader", 3, F31="Participant", 1.5, F31="Performer", 1.5)</f>
        <v/>
      </c>
      <c r="I31" s="64"/>
      <c r="J31" s="47"/>
      <c r="K31" s="94">
        <f t="shared" si="1"/>
        <v>0</v>
      </c>
    </row>
    <row r="32" ht="15.75" customHeight="1">
      <c r="A32" s="93"/>
      <c r="B32" s="93"/>
      <c r="C32" s="91"/>
      <c r="D32" s="10"/>
      <c r="E32" s="8"/>
      <c r="F32" s="91"/>
      <c r="G32" s="8"/>
      <c r="H32" s="92" t="str">
        <f t="array" ref="H32">IFS(F32="", "",F32="Organizer", 3, F32="Team Leader", 3, F32="Participant", 1.5, F32="Performer", 1.5)</f>
        <v/>
      </c>
      <c r="I32" s="64"/>
      <c r="J32" s="47"/>
      <c r="K32" s="94">
        <f t="shared" si="1"/>
        <v>0</v>
      </c>
    </row>
    <row r="33" ht="15.75" customHeight="1">
      <c r="A33" s="93"/>
      <c r="B33" s="93"/>
      <c r="C33" s="91"/>
      <c r="D33" s="10"/>
      <c r="E33" s="8"/>
      <c r="F33" s="91"/>
      <c r="G33" s="8"/>
      <c r="H33" s="92" t="str">
        <f t="array" ref="H33">IFS(F33="", "",F33="Organizer", 3, F33="Team Leader", 3, F33="Participant", 1.5, F33="Performer", 1.5)</f>
        <v/>
      </c>
      <c r="I33" s="64"/>
      <c r="J33" s="47"/>
      <c r="K33" s="94">
        <f t="shared" si="1"/>
        <v>0</v>
      </c>
    </row>
    <row r="34" ht="15.75" customHeight="1">
      <c r="A34" s="93"/>
      <c r="B34" s="93"/>
      <c r="C34" s="91"/>
      <c r="D34" s="10"/>
      <c r="E34" s="8"/>
      <c r="F34" s="91"/>
      <c r="G34" s="8"/>
      <c r="H34" s="92" t="str">
        <f t="array" ref="H34">IFS(F34="", "",F34="Organizer", 3, F34="Team Leader", 3, F34="Participant", 1.5, F34="Performer", 1.5)</f>
        <v/>
      </c>
      <c r="I34" s="64"/>
      <c r="J34" s="47"/>
      <c r="K34" s="94">
        <f t="shared" si="1"/>
        <v>0</v>
      </c>
    </row>
    <row r="35" ht="15.75" customHeight="1">
      <c r="A35" s="93"/>
      <c r="B35" s="93"/>
      <c r="C35" s="91"/>
      <c r="D35" s="10"/>
      <c r="E35" s="8"/>
      <c r="F35" s="91"/>
      <c r="G35" s="8"/>
      <c r="H35" s="92" t="str">
        <f t="array" ref="H35">IFS(F35="", "",F35="Organizer", 3, F35="Team Leader", 3, F35="Participant", 1.5, F35="Performer", 1.5)</f>
        <v/>
      </c>
      <c r="I35" s="64"/>
      <c r="J35" s="47"/>
      <c r="K35" s="94">
        <f t="shared" si="1"/>
        <v>0</v>
      </c>
    </row>
    <row r="36" ht="15.75" customHeight="1">
      <c r="A36" s="93"/>
      <c r="B36" s="93"/>
      <c r="C36" s="91"/>
      <c r="D36" s="10"/>
      <c r="E36" s="8"/>
      <c r="F36" s="91"/>
      <c r="G36" s="8"/>
      <c r="H36" s="92" t="str">
        <f t="array" ref="H36">IFS(F36="", "",F36="Organizer", 3, F36="Team Leader", 3, F36="Participant", 1.5, F36="Performer", 1.5)</f>
        <v/>
      </c>
      <c r="I36" s="64"/>
      <c r="J36" s="47"/>
      <c r="K36" s="94">
        <f t="shared" si="1"/>
        <v>0</v>
      </c>
    </row>
    <row r="37" ht="15.75" customHeight="1">
      <c r="A37" s="93"/>
      <c r="B37" s="93"/>
      <c r="C37" s="91"/>
      <c r="D37" s="10"/>
      <c r="E37" s="8"/>
      <c r="F37" s="91"/>
      <c r="G37" s="8"/>
      <c r="H37" s="92" t="str">
        <f t="array" ref="H37">IFS(F37="", "",F37="Organizer", 3, F37="Team Leader", 3, F37="Participant", 1.5, F37="Performer", 1.5)</f>
        <v/>
      </c>
      <c r="I37" s="64"/>
      <c r="J37" s="47"/>
      <c r="K37" s="94">
        <f t="shared" si="1"/>
        <v>0</v>
      </c>
    </row>
    <row r="38" ht="15.75" customHeight="1">
      <c r="A38" s="93"/>
      <c r="B38" s="93"/>
      <c r="C38" s="91"/>
      <c r="D38" s="10"/>
      <c r="E38" s="8"/>
      <c r="F38" s="91"/>
      <c r="G38" s="8"/>
      <c r="H38" s="92" t="str">
        <f t="array" ref="H38">IFS(F38="", "",F38="Organizer", 3, F38="Team Leader", 3, F38="Participant", 1.5, F38="Performer", 1.5)</f>
        <v/>
      </c>
      <c r="I38" s="64"/>
      <c r="J38" s="47"/>
      <c r="K38" s="94">
        <f t="shared" si="1"/>
        <v>0</v>
      </c>
    </row>
    <row r="39" ht="15.75" customHeight="1">
      <c r="A39" s="93"/>
      <c r="B39" s="93"/>
      <c r="C39" s="91"/>
      <c r="D39" s="10"/>
      <c r="E39" s="8"/>
      <c r="F39" s="91"/>
      <c r="G39" s="8"/>
      <c r="H39" s="92" t="str">
        <f t="array" ref="H39">IFS(F39="", "",F39="Organizer", 3, F39="Team Leader", 3, F39="Participant", 1.5, F39="Performer", 1.5)</f>
        <v/>
      </c>
      <c r="I39" s="64"/>
      <c r="J39" s="47"/>
      <c r="K39" s="94">
        <f t="shared" si="1"/>
        <v>0</v>
      </c>
    </row>
    <row r="40" ht="15.75" customHeight="1">
      <c r="A40" s="93"/>
      <c r="B40" s="93"/>
      <c r="C40" s="91"/>
      <c r="D40" s="10"/>
      <c r="E40" s="8"/>
      <c r="F40" s="91"/>
      <c r="G40" s="8"/>
      <c r="H40" s="92" t="str">
        <f t="array" ref="H40">IFS(F40="", "",F40="Organizer", 3, F40="Team Leader", 3, F40="Participant", 1.5, F40="Performer", 1.5)</f>
        <v/>
      </c>
      <c r="I40" s="64"/>
      <c r="J40" s="47"/>
      <c r="K40" s="94">
        <f t="shared" si="1"/>
        <v>0</v>
      </c>
    </row>
    <row r="41" ht="15.75" customHeight="1">
      <c r="A41" s="93"/>
      <c r="B41" s="93"/>
      <c r="C41" s="91"/>
      <c r="D41" s="10"/>
      <c r="E41" s="8"/>
      <c r="F41" s="91"/>
      <c r="G41" s="8"/>
      <c r="H41" s="92" t="str">
        <f t="array" ref="H41">IFS(F41="", "",F41="Organizer", 3, F41="Team Leader", 3, F41="Participant", 1.5, F41="Performer", 1.5)</f>
        <v/>
      </c>
      <c r="I41" s="64"/>
      <c r="J41" s="47"/>
      <c r="K41" s="94">
        <f t="shared" si="1"/>
        <v>0</v>
      </c>
    </row>
    <row r="42" ht="15.75" customHeight="1">
      <c r="A42" s="93"/>
      <c r="B42" s="93"/>
      <c r="C42" s="91"/>
      <c r="D42" s="10"/>
      <c r="E42" s="8"/>
      <c r="F42" s="91"/>
      <c r="G42" s="8"/>
      <c r="H42" s="92" t="str">
        <f t="array" ref="H42">IFS(F42="", "",F42="Organizer", 3, F42="Team Leader", 3, F42="Participant", 1.5, F42="Performer", 1.5)</f>
        <v/>
      </c>
      <c r="I42" s="64"/>
      <c r="J42" s="47"/>
      <c r="K42" s="94">
        <f t="shared" si="1"/>
        <v>0</v>
      </c>
    </row>
    <row r="43" ht="15.75" customHeight="1">
      <c r="A43" s="93"/>
      <c r="B43" s="93"/>
      <c r="C43" s="91"/>
      <c r="D43" s="10"/>
      <c r="E43" s="8"/>
      <c r="F43" s="91"/>
      <c r="G43" s="8"/>
      <c r="H43" s="92" t="str">
        <f t="array" ref="H43">IFS(F43="", "",F43="Organizer", 3, F43="Team Leader", 3, F43="Participant", 1.5, F43="Performer", 1.5)</f>
        <v/>
      </c>
      <c r="I43" s="64"/>
      <c r="J43" s="47"/>
      <c r="K43" s="94">
        <f t="shared" si="1"/>
        <v>0</v>
      </c>
    </row>
    <row r="44" ht="15.75" customHeight="1">
      <c r="A44" s="93"/>
      <c r="B44" s="93"/>
      <c r="C44" s="91"/>
      <c r="D44" s="10"/>
      <c r="E44" s="8"/>
      <c r="F44" s="91"/>
      <c r="G44" s="8"/>
      <c r="H44" s="92" t="str">
        <f t="array" ref="H44">IFS(F44="", "",F44="Organizer", 3, F44="Team Leader", 3, F44="Participant", 1.5, F44="Performer", 1.5)</f>
        <v/>
      </c>
      <c r="I44" s="64"/>
      <c r="J44" s="47"/>
      <c r="K44" s="94">
        <f t="shared" si="1"/>
        <v>0</v>
      </c>
    </row>
    <row r="45" ht="15.75" customHeight="1">
      <c r="A45" s="93"/>
      <c r="B45" s="93"/>
      <c r="C45" s="91"/>
      <c r="D45" s="10"/>
      <c r="E45" s="8"/>
      <c r="F45" s="91"/>
      <c r="G45" s="8"/>
      <c r="H45" s="92" t="str">
        <f t="array" ref="H45">IFS(F45="", "",F45="Organizer", 3, F45="Team Leader", 3, F45="Participant", 1.5, F45="Performer", 1.5)</f>
        <v/>
      </c>
      <c r="I45" s="64"/>
      <c r="J45" s="47"/>
      <c r="K45" s="94">
        <f t="shared" si="1"/>
        <v>0</v>
      </c>
    </row>
    <row r="46" ht="15.75" customHeight="1">
      <c r="A46" s="93"/>
      <c r="B46" s="93"/>
      <c r="C46" s="91"/>
      <c r="D46" s="10"/>
      <c r="E46" s="8"/>
      <c r="F46" s="91"/>
      <c r="G46" s="8"/>
      <c r="H46" s="92" t="str">
        <f t="array" ref="H46">IFS(F46="", "",F46="Organizer", 3, F46="Team Leader", 3, F46="Participant", 1.5, F46="Performer", 1.5)</f>
        <v/>
      </c>
      <c r="I46" s="64"/>
      <c r="J46" s="47"/>
      <c r="K46" s="94">
        <f t="shared" si="1"/>
        <v>0</v>
      </c>
    </row>
    <row r="47" ht="15.75" customHeight="1">
      <c r="A47" s="93"/>
      <c r="B47" s="93"/>
      <c r="C47" s="91"/>
      <c r="D47" s="10"/>
      <c r="E47" s="8"/>
      <c r="F47" s="91"/>
      <c r="G47" s="8"/>
      <c r="H47" s="92" t="str">
        <f t="array" ref="H47">IFS(F47="", "",F47="Organizer", 3, F47="Team Leader", 3, F47="Participant", 1.5, F47="Performer", 1.5)</f>
        <v/>
      </c>
      <c r="I47" s="64"/>
      <c r="J47" s="47"/>
      <c r="K47" s="94">
        <f t="shared" si="1"/>
        <v>0</v>
      </c>
    </row>
    <row r="48" ht="15.75" customHeight="1">
      <c r="A48" s="93"/>
      <c r="B48" s="93"/>
      <c r="C48" s="91"/>
      <c r="D48" s="10"/>
      <c r="E48" s="8"/>
      <c r="F48" s="91"/>
      <c r="G48" s="8"/>
      <c r="H48" s="92" t="str">
        <f t="array" ref="H48">IFS(F48="", "",F48="Organizer", 3, F48="Team Leader", 3, F48="Participant", 1.5, F48="Performer", 1.5)</f>
        <v/>
      </c>
      <c r="I48" s="64"/>
      <c r="J48" s="47"/>
      <c r="K48" s="94">
        <f t="shared" si="1"/>
        <v>0</v>
      </c>
    </row>
    <row r="49" ht="15.75" customHeight="1">
      <c r="A49" s="93"/>
      <c r="B49" s="93"/>
      <c r="C49" s="91"/>
      <c r="D49" s="10"/>
      <c r="E49" s="8"/>
      <c r="F49" s="91"/>
      <c r="G49" s="8"/>
      <c r="H49" s="92" t="str">
        <f t="array" ref="H49">IFS(F49="", "",F49="Organizer", 3, F49="Team Leader", 3, F49="Participant", 1.5, F49="Performer", 1.5)</f>
        <v/>
      </c>
      <c r="I49" s="64"/>
      <c r="J49" s="47"/>
      <c r="K49" s="94">
        <f t="shared" si="1"/>
        <v>0</v>
      </c>
    </row>
    <row r="50" ht="15.75" customHeight="1">
      <c r="A50" s="93"/>
      <c r="B50" s="93"/>
      <c r="C50" s="91"/>
      <c r="D50" s="10"/>
      <c r="E50" s="8"/>
      <c r="F50" s="91"/>
      <c r="G50" s="8"/>
      <c r="H50" s="92" t="str">
        <f t="array" ref="H50">IFS(F50="", "",F50="Organizer", 3, F50="Team Leader", 3, F50="Participant", 1.5, F50="Performer", 1.5)</f>
        <v/>
      </c>
      <c r="I50" s="64"/>
      <c r="J50" s="47"/>
      <c r="K50" s="94">
        <f t="shared" si="1"/>
        <v>0</v>
      </c>
    </row>
    <row r="51" ht="15.0" customHeight="1">
      <c r="A51" s="95" t="s">
        <v>49</v>
      </c>
      <c r="B51" s="10"/>
      <c r="C51" s="10"/>
      <c r="D51" s="10"/>
      <c r="E51" s="10"/>
      <c r="F51" s="10"/>
      <c r="G51" s="8"/>
      <c r="H51" s="89">
        <f>SUM(H14:H50)</f>
        <v>27</v>
      </c>
      <c r="I51" s="96"/>
      <c r="J51" s="96"/>
      <c r="K51" s="96"/>
      <c r="L51" s="96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6.5" customHeight="1">
      <c r="A52" s="88" t="s">
        <v>124</v>
      </c>
      <c r="B52" s="10"/>
      <c r="C52" s="10"/>
      <c r="D52" s="10"/>
      <c r="E52" s="10"/>
      <c r="F52" s="10"/>
      <c r="G52" s="10"/>
      <c r="H52" s="8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ht="50.25" customHeight="1">
      <c r="A53" s="89" t="s">
        <v>125</v>
      </c>
      <c r="B53" s="89" t="s">
        <v>106</v>
      </c>
      <c r="C53" s="90" t="s">
        <v>107</v>
      </c>
      <c r="D53" s="10"/>
      <c r="E53" s="8"/>
      <c r="F53" s="91" t="s">
        <v>108</v>
      </c>
      <c r="G53" s="8"/>
      <c r="H53" s="92" t="s">
        <v>48</v>
      </c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5.0" customHeight="1">
      <c r="A54" s="93"/>
      <c r="B54" s="93"/>
      <c r="C54" s="91"/>
      <c r="D54" s="10"/>
      <c r="E54" s="8"/>
      <c r="F54" s="91" t="s">
        <v>62</v>
      </c>
      <c r="G54" s="8"/>
      <c r="H54" s="92">
        <f t="array" ref="H54">IFS(F54="", "",F54="Organizer", 2, F54="Team Leader", 2, F54="Participant", 1, F54="Performer", 1)</f>
        <v>2</v>
      </c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ht="15.0" customHeight="1">
      <c r="A55" s="93"/>
      <c r="B55" s="93"/>
      <c r="C55" s="91"/>
      <c r="D55" s="10"/>
      <c r="E55" s="8"/>
      <c r="F55" s="91" t="s">
        <v>109</v>
      </c>
      <c r="G55" s="8"/>
      <c r="H55" s="92">
        <f t="array" ref="H55">IFS(F55="", "",F55="Organizer", 2, F55="Team Leader", 2, F55="Participant", 1, F55="Performer", 1)</f>
        <v>2</v>
      </c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ht="15.0" customHeight="1">
      <c r="A56" s="93"/>
      <c r="B56" s="93"/>
      <c r="C56" s="91"/>
      <c r="D56" s="10"/>
      <c r="E56" s="8"/>
      <c r="F56" s="91" t="s">
        <v>62</v>
      </c>
      <c r="G56" s="8"/>
      <c r="H56" s="92">
        <f t="array" ref="H56">IFS(F56="", "",F56="Organizer", 2, F56="Team Leader", 2, F56="Participant", 1, F56="Performer", 1)</f>
        <v>2</v>
      </c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0" customHeight="1">
      <c r="A57" s="93"/>
      <c r="B57" s="93"/>
      <c r="C57" s="91"/>
      <c r="D57" s="10"/>
      <c r="E57" s="8"/>
      <c r="F57" s="91"/>
      <c r="G57" s="8"/>
      <c r="H57" s="92" t="str">
        <f t="array" ref="H57">IFS(F57="", "",F57="Organizer", 2, F57="Team Leader", 2, F57="Participant", 1, F57="Performer", 1)</f>
        <v/>
      </c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ht="15.0" customHeight="1">
      <c r="A58" s="93"/>
      <c r="B58" s="93"/>
      <c r="C58" s="91"/>
      <c r="D58" s="10"/>
      <c r="E58" s="8"/>
      <c r="F58" s="91"/>
      <c r="G58" s="8"/>
      <c r="H58" s="92" t="str">
        <f t="array" ref="H58">IFS(F58="", "",F58="Organizer", 2, F58="Team Leader", 2, F58="Participant", 1, F58="Performer", 1)</f>
        <v/>
      </c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ht="15.0" customHeight="1">
      <c r="A59" s="93"/>
      <c r="B59" s="93"/>
      <c r="C59" s="91"/>
      <c r="D59" s="10"/>
      <c r="E59" s="8"/>
      <c r="F59" s="91"/>
      <c r="G59" s="8"/>
      <c r="H59" s="92" t="str">
        <f t="array" ref="H59">IFS(F59="", "",F59="Organizer", 2, F59="Team Leader", 2, F59="Participant", 1, F59="Performer", 1)</f>
        <v/>
      </c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ht="15.0" customHeight="1">
      <c r="A60" s="93"/>
      <c r="B60" s="93"/>
      <c r="C60" s="91"/>
      <c r="D60" s="10"/>
      <c r="E60" s="8"/>
      <c r="F60" s="91"/>
      <c r="G60" s="8"/>
      <c r="H60" s="92" t="str">
        <f t="array" ref="H60">IFS(F60="", "",F60="Organizer", 2, F60="Team Leader", 2, F60="Participant", 1, F60="Performer", 1)</f>
        <v/>
      </c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ht="15.0" customHeight="1">
      <c r="A61" s="93"/>
      <c r="B61" s="93"/>
      <c r="C61" s="91"/>
      <c r="D61" s="10"/>
      <c r="E61" s="8"/>
      <c r="F61" s="91"/>
      <c r="G61" s="8"/>
      <c r="H61" s="92" t="str">
        <f t="array" ref="H61">IFS(F61="", "",F61="Organizer", 2, F61="Team Leader", 2, F61="Participant", 1, F61="Performer", 1)</f>
        <v/>
      </c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ht="15.0" customHeight="1">
      <c r="A62" s="93"/>
      <c r="B62" s="93"/>
      <c r="C62" s="91"/>
      <c r="D62" s="10"/>
      <c r="E62" s="8"/>
      <c r="F62" s="91"/>
      <c r="G62" s="8"/>
      <c r="H62" s="92" t="str">
        <f t="array" ref="H62">IFS(F62="", "",F62="Organizer", 2, F62="Team Leader", 2, F62="Participant", 1, F62="Performer", 1)</f>
        <v/>
      </c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ht="15.0" customHeight="1">
      <c r="A63" s="93"/>
      <c r="B63" s="93"/>
      <c r="C63" s="91"/>
      <c r="D63" s="10"/>
      <c r="E63" s="8"/>
      <c r="F63" s="91"/>
      <c r="G63" s="8"/>
      <c r="H63" s="92" t="str">
        <f t="array" ref="H63">IFS(F63="", "",F63="Organizer", 2, F63="Team Leader", 2, F63="Participant", 1, F63="Performer", 1)</f>
        <v/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ht="15.0" customHeight="1">
      <c r="A64" s="93"/>
      <c r="B64" s="93"/>
      <c r="C64" s="91"/>
      <c r="D64" s="10"/>
      <c r="E64" s="8"/>
      <c r="F64" s="91"/>
      <c r="G64" s="8"/>
      <c r="H64" s="92" t="str">
        <f t="array" ref="H64">IFS(F64="", "",F64="Organizer", 2, F64="Team Leader", 2, F64="Participant", 1, F64="Performer", 1)</f>
        <v/>
      </c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ht="15.0" customHeight="1">
      <c r="A65" s="93"/>
      <c r="B65" s="93"/>
      <c r="C65" s="91"/>
      <c r="D65" s="10"/>
      <c r="E65" s="8"/>
      <c r="F65" s="91"/>
      <c r="G65" s="8"/>
      <c r="H65" s="92" t="str">
        <f t="array" ref="H65">IFS(F65="", "",F65="Organizer", 2, F65="Team Leader", 2, F65="Participant", 1, F65="Performer", 1)</f>
        <v/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ht="15.0" customHeight="1">
      <c r="A66" s="93"/>
      <c r="B66" s="93"/>
      <c r="C66" s="91"/>
      <c r="D66" s="10"/>
      <c r="E66" s="8"/>
      <c r="F66" s="91"/>
      <c r="G66" s="8"/>
      <c r="H66" s="92" t="str">
        <f t="array" ref="H66">IFS(F66="", "",F66="Organizer", 2, F66="Team Leader", 2, F66="Participant", 1, F66="Performer", 1)</f>
        <v/>
      </c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ht="15.0" customHeight="1">
      <c r="A67" s="93"/>
      <c r="B67" s="93"/>
      <c r="C67" s="91"/>
      <c r="D67" s="10"/>
      <c r="E67" s="8"/>
      <c r="F67" s="91"/>
      <c r="G67" s="8"/>
      <c r="H67" s="92" t="str">
        <f t="array" ref="H67">IFS(F67="", "",F67="Organizer", 2, F67="Team Leader", 2, F67="Participant", 1, F67="Performer", 1)</f>
        <v/>
      </c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ht="15.0" customHeight="1">
      <c r="A68" s="93"/>
      <c r="B68" s="93"/>
      <c r="C68" s="91"/>
      <c r="D68" s="10"/>
      <c r="E68" s="8"/>
      <c r="F68" s="91"/>
      <c r="G68" s="8"/>
      <c r="H68" s="92" t="str">
        <f t="array" ref="H68">IFS(F68="", "",F68="Organizer", 2, F68="Team Leader", 2, F68="Participant", 1, F68="Performer", 1)</f>
        <v/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ht="15.0" customHeight="1">
      <c r="A69" s="93"/>
      <c r="B69" s="93"/>
      <c r="C69" s="91"/>
      <c r="D69" s="10"/>
      <c r="E69" s="8"/>
      <c r="F69" s="91"/>
      <c r="G69" s="8"/>
      <c r="H69" s="92" t="str">
        <f t="array" ref="H69">IFS(F69="", "",F69="Organizer", 2, F69="Team Leader", 2, F69="Participant", 1, F69="Performer", 1)</f>
        <v/>
      </c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ht="15.0" customHeight="1">
      <c r="A70" s="93"/>
      <c r="B70" s="93"/>
      <c r="C70" s="91"/>
      <c r="D70" s="10"/>
      <c r="E70" s="8"/>
      <c r="F70" s="91"/>
      <c r="G70" s="8"/>
      <c r="H70" s="92" t="str">
        <f t="array" ref="H70">IFS(F70="", "",F70="Organizer", 2, F70="Team Leader", 2, F70="Participant", 1, F70="Performer", 1)</f>
        <v/>
      </c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ht="15.0" customHeight="1">
      <c r="A71" s="93"/>
      <c r="B71" s="93"/>
      <c r="C71" s="91"/>
      <c r="D71" s="10"/>
      <c r="E71" s="8"/>
      <c r="F71" s="91"/>
      <c r="G71" s="8"/>
      <c r="H71" s="92" t="str">
        <f t="array" ref="H71">IFS(F71="", "",F71="Organizer", 2, F71="Team Leader", 2, F71="Participant", 1, F71="Performer", 1)</f>
        <v/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ht="15.0" customHeight="1">
      <c r="A72" s="93"/>
      <c r="B72" s="93"/>
      <c r="C72" s="91"/>
      <c r="D72" s="10"/>
      <c r="E72" s="8"/>
      <c r="F72" s="91"/>
      <c r="G72" s="8"/>
      <c r="H72" s="92" t="str">
        <f t="array" ref="H72">IFS(F72="", "",F72="Organizer", 2, F72="Team Leader", 2, F72="Participant", 1, F72="Performer", 1)</f>
        <v/>
      </c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ht="15.0" customHeight="1">
      <c r="A73" s="93"/>
      <c r="B73" s="93"/>
      <c r="C73" s="91"/>
      <c r="D73" s="10"/>
      <c r="E73" s="8"/>
      <c r="F73" s="91"/>
      <c r="G73" s="8"/>
      <c r="H73" s="92" t="str">
        <f t="array" ref="H73">IFS(F73="", "",F73="Organizer", 2, F73="Team Leader", 2, F73="Participant", 1, F73="Performer", 1)</f>
        <v/>
      </c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ht="15.0" customHeight="1">
      <c r="A74" s="93"/>
      <c r="B74" s="93"/>
      <c r="C74" s="91"/>
      <c r="D74" s="10"/>
      <c r="E74" s="8"/>
      <c r="F74" s="91"/>
      <c r="G74" s="8"/>
      <c r="H74" s="92" t="str">
        <f t="array" ref="H74">IFS(F74="", "",F74="Organizer", 2, F74="Team Leader", 2, F74="Participant", 1, F74="Performer", 1)</f>
        <v/>
      </c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ht="15.0" customHeight="1">
      <c r="A75" s="93"/>
      <c r="B75" s="93"/>
      <c r="C75" s="91"/>
      <c r="D75" s="10"/>
      <c r="E75" s="8"/>
      <c r="F75" s="91"/>
      <c r="G75" s="8"/>
      <c r="H75" s="92" t="str">
        <f t="array" ref="H75">IFS(F75="", "",F75="Organizer", 2, F75="Team Leader", 2, F75="Participant", 1, F75="Performer", 1)</f>
        <v/>
      </c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ht="15.0" customHeight="1">
      <c r="A76" s="93"/>
      <c r="B76" s="93"/>
      <c r="C76" s="91"/>
      <c r="D76" s="10"/>
      <c r="E76" s="8"/>
      <c r="F76" s="91"/>
      <c r="G76" s="8"/>
      <c r="H76" s="92" t="str">
        <f t="array" ref="H76">IFS(F76="", "",F76="Organizer", 2, F76="Team Leader", 2, F76="Participant", 1, F76="Performer", 1)</f>
        <v/>
      </c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ht="15.0" customHeight="1">
      <c r="A77" s="93"/>
      <c r="B77" s="93"/>
      <c r="C77" s="91"/>
      <c r="D77" s="10"/>
      <c r="E77" s="8"/>
      <c r="F77" s="91"/>
      <c r="G77" s="8"/>
      <c r="H77" s="92" t="str">
        <f t="array" ref="H77">IFS(F77="", "",F77="Organizer", 2, F77="Team Leader", 2, F77="Participant", 1, F77="Performer", 1)</f>
        <v/>
      </c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ht="15.0" customHeight="1">
      <c r="A78" s="93"/>
      <c r="B78" s="93"/>
      <c r="C78" s="91"/>
      <c r="D78" s="10"/>
      <c r="E78" s="8"/>
      <c r="F78" s="91"/>
      <c r="G78" s="8"/>
      <c r="H78" s="92" t="str">
        <f t="array" ref="H78">IFS(F78="", "",F78="Organizer", 2, F78="Team Leader", 2, F78="Participant", 1, F78="Performer", 1)</f>
        <v/>
      </c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ht="15.0" customHeight="1">
      <c r="A79" s="93"/>
      <c r="B79" s="93"/>
      <c r="C79" s="91"/>
      <c r="D79" s="10"/>
      <c r="E79" s="8"/>
      <c r="F79" s="91"/>
      <c r="G79" s="8"/>
      <c r="H79" s="92" t="str">
        <f t="array" ref="H79">IFS(F79="", "",F79="Organizer", 2, F79="Team Leader", 2, F79="Participant", 1, F79="Performer", 1)</f>
        <v/>
      </c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ht="15.0" customHeight="1">
      <c r="A80" s="93"/>
      <c r="B80" s="93"/>
      <c r="C80" s="91"/>
      <c r="D80" s="10"/>
      <c r="E80" s="8"/>
      <c r="F80" s="91"/>
      <c r="G80" s="8"/>
      <c r="H80" s="92" t="str">
        <f t="array" ref="H80">IFS(F80="", "",F80="Organizer", 2, F80="Team Leader", 2, F80="Participant", 1, F80="Performer", 1)</f>
        <v/>
      </c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ht="15.0" customHeight="1">
      <c r="A81" s="93"/>
      <c r="B81" s="93"/>
      <c r="C81" s="91"/>
      <c r="D81" s="10"/>
      <c r="E81" s="8"/>
      <c r="F81" s="91"/>
      <c r="G81" s="8"/>
      <c r="H81" s="92" t="str">
        <f t="array" ref="H81">IFS(F81="", "",F81="Organizer", 2, F81="Team Leader", 2, F81="Participant", 1, F81="Performer", 1)</f>
        <v/>
      </c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ht="15.0" customHeight="1">
      <c r="A82" s="93"/>
      <c r="B82" s="93"/>
      <c r="C82" s="91"/>
      <c r="D82" s="10"/>
      <c r="E82" s="8"/>
      <c r="F82" s="91"/>
      <c r="G82" s="8"/>
      <c r="H82" s="92" t="str">
        <f t="array" ref="H82">IFS(F82="", "",F82="Organizer", 2, F82="Team Leader", 2, F82="Participant", 1, F82="Performer", 1)</f>
        <v/>
      </c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ht="15.0" customHeight="1">
      <c r="A83" s="93"/>
      <c r="B83" s="93"/>
      <c r="C83" s="91"/>
      <c r="D83" s="10"/>
      <c r="E83" s="8"/>
      <c r="F83" s="91"/>
      <c r="G83" s="8"/>
      <c r="H83" s="92" t="str">
        <f t="array" ref="H83">IFS(F83="", "",F83="Organizer", 2, F83="Team Leader", 2, F83="Participant", 1, F83="Performer", 1)</f>
        <v/>
      </c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ht="15.0" customHeight="1">
      <c r="A84" s="93"/>
      <c r="B84" s="93"/>
      <c r="C84" s="91"/>
      <c r="D84" s="10"/>
      <c r="E84" s="8"/>
      <c r="F84" s="91"/>
      <c r="G84" s="8"/>
      <c r="H84" s="92" t="str">
        <f t="array" ref="H84">IFS(F84="", "",F84="Organizer", 2, F84="Team Leader", 2, F84="Participant", 1, F84="Performer", 1)</f>
        <v/>
      </c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ht="15.0" customHeight="1">
      <c r="A85" s="93"/>
      <c r="B85" s="93"/>
      <c r="C85" s="91"/>
      <c r="D85" s="10"/>
      <c r="E85" s="8"/>
      <c r="F85" s="91"/>
      <c r="G85" s="8"/>
      <c r="H85" s="92" t="str">
        <f t="array" ref="H85">IFS(F85="", "",F85="Organizer", 2, F85="Team Leader", 2, F85="Participant", 1, F85="Performer", 1)</f>
        <v/>
      </c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ht="15.0" customHeight="1">
      <c r="A86" s="93"/>
      <c r="B86" s="93"/>
      <c r="C86" s="91"/>
      <c r="D86" s="10"/>
      <c r="E86" s="8"/>
      <c r="F86" s="91"/>
      <c r="G86" s="8"/>
      <c r="H86" s="92" t="str">
        <f t="array" ref="H86">IFS(F86="", "",F86="Organizer", 2, F86="Team Leader", 2, F86="Participant", 1, F86="Performer", 1)</f>
        <v/>
      </c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ht="15.0" customHeight="1">
      <c r="A87" s="93"/>
      <c r="B87" s="93"/>
      <c r="C87" s="91"/>
      <c r="D87" s="10"/>
      <c r="E87" s="8"/>
      <c r="F87" s="91"/>
      <c r="G87" s="8"/>
      <c r="H87" s="92" t="str">
        <f t="array" ref="H87">IFS(F87="", "",F87="Organizer", 2, F87="Team Leader", 2, F87="Participant", 1, F87="Performer", 1)</f>
        <v/>
      </c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ht="15.0" customHeight="1">
      <c r="A88" s="93"/>
      <c r="B88" s="93"/>
      <c r="C88" s="91"/>
      <c r="D88" s="10"/>
      <c r="E88" s="8"/>
      <c r="F88" s="91"/>
      <c r="G88" s="8"/>
      <c r="H88" s="92" t="str">
        <f t="array" ref="H88">IFS(F88="", "",F88="Organizer", 2, F88="Team Leader", 2, F88="Participant", 1, F88="Performer", 1)</f>
        <v/>
      </c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ht="15.0" customHeight="1">
      <c r="A89" s="93"/>
      <c r="B89" s="93"/>
      <c r="C89" s="91"/>
      <c r="D89" s="10"/>
      <c r="E89" s="8"/>
      <c r="F89" s="91"/>
      <c r="G89" s="8"/>
      <c r="H89" s="92" t="str">
        <f t="array" ref="H89">IFS(F89="", "",F89="Organizer", 2, F89="Team Leader", 2, F89="Participant", 1, F89="Performer", 1)</f>
        <v/>
      </c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ht="15.0" customHeight="1">
      <c r="A90" s="93"/>
      <c r="B90" s="93"/>
      <c r="C90" s="91"/>
      <c r="D90" s="10"/>
      <c r="E90" s="8"/>
      <c r="F90" s="91"/>
      <c r="G90" s="8"/>
      <c r="H90" s="92" t="str">
        <f t="array" ref="H90">IFS(F90="", "",F90="Organizer", 2, F90="Team Leader", 2, F90="Participant", 1, F90="Performer", 1)</f>
        <v/>
      </c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ht="15.0" customHeight="1">
      <c r="A91" s="93"/>
      <c r="B91" s="93"/>
      <c r="C91" s="91"/>
      <c r="D91" s="10"/>
      <c r="E91" s="8"/>
      <c r="F91" s="91"/>
      <c r="G91" s="8"/>
      <c r="H91" s="92" t="str">
        <f t="array" ref="H91">IFS(F91="", "",F91="Organizer", 2, F91="Team Leader", 2, F91="Participant", 1, F91="Performer", 1)</f>
        <v/>
      </c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ht="15.0" customHeight="1">
      <c r="A92" s="93"/>
      <c r="B92" s="93"/>
      <c r="C92" s="91"/>
      <c r="D92" s="10"/>
      <c r="E92" s="8"/>
      <c r="F92" s="91"/>
      <c r="G92" s="8"/>
      <c r="H92" s="92" t="str">
        <f t="array" ref="H92">IFS(F92="", "",F92="Organizer", 2, F92="Team Leader", 2, F92="Participant", 1, F92="Performer", 1)</f>
        <v/>
      </c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ht="15.0" customHeight="1">
      <c r="A93" s="93"/>
      <c r="B93" s="93"/>
      <c r="C93" s="91"/>
      <c r="D93" s="10"/>
      <c r="E93" s="8"/>
      <c r="F93" s="91"/>
      <c r="G93" s="8"/>
      <c r="H93" s="92" t="str">
        <f t="array" ref="H93">IFS(F93="", "",F93="Organizer", 2, F93="Team Leader", 2, F93="Participant", 1, F93="Performer", 1)</f>
        <v/>
      </c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ht="15.0" customHeight="1">
      <c r="A94" s="93"/>
      <c r="B94" s="93"/>
      <c r="C94" s="91"/>
      <c r="D94" s="10"/>
      <c r="E94" s="8"/>
      <c r="F94" s="91"/>
      <c r="G94" s="8"/>
      <c r="H94" s="92" t="str">
        <f t="array" ref="H94">IFS(F94="", "",F94="Organizer", 2, F94="Team Leader", 2, F94="Participant", 1, F94="Performer", 1)</f>
        <v/>
      </c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ht="15.0" customHeight="1">
      <c r="A95" s="93"/>
      <c r="B95" s="93"/>
      <c r="C95" s="91"/>
      <c r="D95" s="10"/>
      <c r="E95" s="8"/>
      <c r="F95" s="91"/>
      <c r="G95" s="8"/>
      <c r="H95" s="92" t="str">
        <f t="array" ref="H95">IFS(F95="", "",F95="Organizer", 2, F95="Team Leader", 2, F95="Participant", 1, F95="Performer", 1)</f>
        <v/>
      </c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ht="15.0" customHeight="1">
      <c r="A96" s="93"/>
      <c r="B96" s="93"/>
      <c r="C96" s="91"/>
      <c r="D96" s="10"/>
      <c r="E96" s="8"/>
      <c r="F96" s="91"/>
      <c r="G96" s="8"/>
      <c r="H96" s="92" t="str">
        <f t="array" ref="H96">IFS(F96="", "",F96="Organizer", 2, F96="Team Leader", 2, F96="Participant", 1, F96="Performer", 1)</f>
        <v/>
      </c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ht="15.0" customHeight="1">
      <c r="A97" s="93"/>
      <c r="B97" s="93"/>
      <c r="C97" s="91"/>
      <c r="D97" s="10"/>
      <c r="E97" s="8"/>
      <c r="F97" s="91"/>
      <c r="G97" s="8"/>
      <c r="H97" s="92" t="str">
        <f t="array" ref="H97">IFS(F97="", "",F97="Organizer", 2, F97="Team Leader", 2, F97="Participant", 1, F97="Performer", 1)</f>
        <v/>
      </c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ht="15.0" customHeight="1">
      <c r="A98" s="93"/>
      <c r="B98" s="93"/>
      <c r="C98" s="91"/>
      <c r="D98" s="10"/>
      <c r="E98" s="8"/>
      <c r="F98" s="91"/>
      <c r="G98" s="8"/>
      <c r="H98" s="92" t="str">
        <f t="array" ref="H98">IFS(F98="", "",F98="Organizer", 2, F98="Team Leader", 2, F98="Participant", 1, F98="Performer", 1)</f>
        <v/>
      </c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ht="15.0" customHeight="1">
      <c r="A99" s="93"/>
      <c r="B99" s="93"/>
      <c r="C99" s="91"/>
      <c r="D99" s="10"/>
      <c r="E99" s="8"/>
      <c r="F99" s="91"/>
      <c r="G99" s="8"/>
      <c r="H99" s="92" t="str">
        <f t="array" ref="H99">IFS(F99="", "",F99="Organizer", 2, F99="Team Leader", 2, F99="Participant", 1, F99="Performer", 1)</f>
        <v/>
      </c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ht="15.0" customHeight="1">
      <c r="A100" s="93"/>
      <c r="B100" s="93"/>
      <c r="C100" s="91"/>
      <c r="D100" s="10"/>
      <c r="E100" s="8"/>
      <c r="F100" s="91"/>
      <c r="G100" s="8"/>
      <c r="H100" s="92" t="str">
        <f t="array" ref="H100">IFS(F100="", "",F100="Organizer", 2, F100="Team Leader", 2, F100="Participant", 1, F100="Performer", 1)</f>
        <v/>
      </c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ht="15.0" customHeight="1">
      <c r="A101" s="93"/>
      <c r="B101" s="93"/>
      <c r="C101" s="91"/>
      <c r="D101" s="10"/>
      <c r="E101" s="8"/>
      <c r="F101" s="91"/>
      <c r="G101" s="8"/>
      <c r="H101" s="92" t="str">
        <f t="array" ref="H101">IFS(F101="", "",F101="Organizer", 2, F101="Team Leader", 2, F101="Participant", 1, F101="Performer", 1)</f>
        <v/>
      </c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ht="15.0" customHeight="1">
      <c r="A102" s="93"/>
      <c r="B102" s="93"/>
      <c r="C102" s="91"/>
      <c r="D102" s="10"/>
      <c r="E102" s="8"/>
      <c r="F102" s="91"/>
      <c r="G102" s="8"/>
      <c r="H102" s="92" t="str">
        <f t="array" ref="H102">IFS(F102="", "",F102="Organizer", 2, F102="Team Leader", 2, F102="Participant", 1, F102="Performer", 1)</f>
        <v/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ht="15.0" customHeight="1">
      <c r="A103" s="93"/>
      <c r="B103" s="93"/>
      <c r="C103" s="91"/>
      <c r="D103" s="10"/>
      <c r="E103" s="8"/>
      <c r="F103" s="91"/>
      <c r="G103" s="8"/>
      <c r="H103" s="92" t="str">
        <f t="array" ref="H103">IFS(F103="", "",F103="Organizer", 2, F103="Team Leader", 2, F103="Participant", 1, F103="Performer", 1)</f>
        <v/>
      </c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ht="15.0" customHeight="1">
      <c r="A104" s="95" t="s">
        <v>49</v>
      </c>
      <c r="B104" s="10"/>
      <c r="C104" s="10"/>
      <c r="D104" s="10"/>
      <c r="E104" s="10"/>
      <c r="F104" s="10"/>
      <c r="G104" s="8"/>
      <c r="H104" s="89">
        <f>SUM(H54:H103)</f>
        <v>6</v>
      </c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ht="15.0" customHeight="1">
      <c r="A105" s="88" t="s">
        <v>126</v>
      </c>
      <c r="B105" s="10"/>
      <c r="C105" s="10"/>
      <c r="D105" s="10"/>
      <c r="E105" s="10"/>
      <c r="F105" s="10"/>
      <c r="G105" s="10"/>
      <c r="H105" s="8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ht="50.25" customHeight="1">
      <c r="A106" s="89" t="s">
        <v>127</v>
      </c>
      <c r="B106" s="89" t="s">
        <v>106</v>
      </c>
      <c r="C106" s="90" t="s">
        <v>107</v>
      </c>
      <c r="D106" s="10"/>
      <c r="E106" s="8"/>
      <c r="F106" s="91" t="s">
        <v>108</v>
      </c>
      <c r="G106" s="8"/>
      <c r="H106" s="92" t="s">
        <v>48</v>
      </c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ht="15.0" customHeight="1">
      <c r="A107" s="93"/>
      <c r="B107" s="93"/>
      <c r="C107" s="91"/>
      <c r="D107" s="10"/>
      <c r="E107" s="8"/>
      <c r="F107" s="91" t="s">
        <v>62</v>
      </c>
      <c r="G107" s="8"/>
      <c r="H107" s="92">
        <f t="array" ref="H107">IFS(F107="", "",F107="Organizer", 1, F107="Team Leader", 1, F107="Participant", 0.5, F107="Performer", 0.5)</f>
        <v>1</v>
      </c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ht="15.0" customHeight="1">
      <c r="A108" s="93"/>
      <c r="B108" s="93"/>
      <c r="C108" s="91"/>
      <c r="D108" s="10"/>
      <c r="E108" s="8"/>
      <c r="F108" s="91" t="s">
        <v>62</v>
      </c>
      <c r="G108" s="8"/>
      <c r="H108" s="92">
        <f t="array" ref="H108">IFS(F108="", "",F108="Organizer", 1, F108="Team Leader", 1, F108="Participant", 0.5, F108="Performer", 0.5)</f>
        <v>1</v>
      </c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ht="15.0" customHeight="1">
      <c r="A109" s="93"/>
      <c r="B109" s="93"/>
      <c r="C109" s="91"/>
      <c r="D109" s="10"/>
      <c r="E109" s="8"/>
      <c r="F109" s="91" t="s">
        <v>62</v>
      </c>
      <c r="G109" s="8"/>
      <c r="H109" s="92">
        <f t="array" ref="H109">IFS(F109="", "",F109="Organizer", 1, F109="Team Leader", 1, F109="Participant", 0.5, F109="Performer", 0.5)</f>
        <v>1</v>
      </c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ht="15.0" customHeight="1">
      <c r="A110" s="93"/>
      <c r="B110" s="93"/>
      <c r="C110" s="91"/>
      <c r="D110" s="10"/>
      <c r="E110" s="8"/>
      <c r="F110" s="91"/>
      <c r="G110" s="8"/>
      <c r="H110" s="92" t="str">
        <f t="array" ref="H110">IFS(F110="", "",F110="Organizer", 1, F110="Team Leader", 1, F110="Participant", 0.5, F110="Performer", 0.5)</f>
        <v/>
      </c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ht="15.0" customHeight="1">
      <c r="A111" s="93"/>
      <c r="B111" s="93"/>
      <c r="C111" s="91"/>
      <c r="D111" s="10"/>
      <c r="E111" s="8"/>
      <c r="F111" s="91"/>
      <c r="G111" s="8"/>
      <c r="H111" s="92" t="str">
        <f t="array" ref="H111">IFS(F111="", "",F111="Organizer", 1, F111="Team Leader", 1, F111="Participant", 0.5, F111="Performer", 0.5)</f>
        <v/>
      </c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ht="15.0" customHeight="1">
      <c r="A112" s="93"/>
      <c r="B112" s="93"/>
      <c r="C112" s="91"/>
      <c r="D112" s="10"/>
      <c r="E112" s="8"/>
      <c r="F112" s="91"/>
      <c r="G112" s="8"/>
      <c r="H112" s="92" t="str">
        <f t="array" ref="H112">IFS(F112="", "",F112="Organizer", 1, F112="Team Leader", 1, F112="Participant", 0.5, F112="Performer", 0.5)</f>
        <v/>
      </c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ht="15.0" customHeight="1">
      <c r="A113" s="93"/>
      <c r="B113" s="93"/>
      <c r="C113" s="91"/>
      <c r="D113" s="10"/>
      <c r="E113" s="8"/>
      <c r="F113" s="91"/>
      <c r="G113" s="8"/>
      <c r="H113" s="92" t="str">
        <f t="array" ref="H113">IFS(F113="", "",F113="Organizer", 1, F113="Team Leader", 1, F113="Participant", 0.5, F113="Performer", 0.5)</f>
        <v/>
      </c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ht="15.0" customHeight="1">
      <c r="A114" s="93"/>
      <c r="B114" s="93"/>
      <c r="C114" s="91"/>
      <c r="D114" s="10"/>
      <c r="E114" s="8"/>
      <c r="F114" s="91"/>
      <c r="G114" s="8"/>
      <c r="H114" s="92" t="str">
        <f t="array" ref="H114">IFS(F114="", "",F114="Organizer", 1, F114="Team Leader", 1, F114="Participant", 0.5, F114="Performer", 0.5)</f>
        <v/>
      </c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ht="15.0" customHeight="1">
      <c r="A115" s="93"/>
      <c r="B115" s="93"/>
      <c r="C115" s="91"/>
      <c r="D115" s="10"/>
      <c r="E115" s="8"/>
      <c r="F115" s="91"/>
      <c r="G115" s="8"/>
      <c r="H115" s="92" t="str">
        <f t="array" ref="H115">IFS(F115="", "",F115="Organizer", 1, F115="Team Leader", 1, F115="Participant", 0.5, F115="Performer", 0.5)</f>
        <v/>
      </c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ht="15.0" customHeight="1">
      <c r="A116" s="93"/>
      <c r="B116" s="93"/>
      <c r="C116" s="91"/>
      <c r="D116" s="10"/>
      <c r="E116" s="8"/>
      <c r="F116" s="91"/>
      <c r="G116" s="8"/>
      <c r="H116" s="92" t="str">
        <f t="array" ref="H116">IFS(F116="", "",F116="Organizer", 1, F116="Team Leader", 1, F116="Participant", 0.5, F116="Performer", 0.5)</f>
        <v/>
      </c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ht="15.0" customHeight="1">
      <c r="A117" s="93"/>
      <c r="B117" s="93"/>
      <c r="C117" s="91"/>
      <c r="D117" s="10"/>
      <c r="E117" s="8"/>
      <c r="F117" s="91"/>
      <c r="G117" s="8"/>
      <c r="H117" s="92" t="str">
        <f t="array" ref="H117">IFS(F117="", "",F117="Organizer", 1, F117="Team Leader", 1, F117="Participant", 0.5, F117="Performer", 0.5)</f>
        <v/>
      </c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ht="15.0" customHeight="1">
      <c r="A118" s="93"/>
      <c r="B118" s="93"/>
      <c r="C118" s="91"/>
      <c r="D118" s="10"/>
      <c r="E118" s="8"/>
      <c r="F118" s="91"/>
      <c r="G118" s="8"/>
      <c r="H118" s="92" t="str">
        <f t="array" ref="H118">IFS(F118="", "",F118="Organizer", 1, F118="Team Leader", 1, F118="Participant", 0.5, F118="Performer", 0.5)</f>
        <v/>
      </c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ht="15.0" customHeight="1">
      <c r="A119" s="93"/>
      <c r="B119" s="93"/>
      <c r="C119" s="91"/>
      <c r="D119" s="10"/>
      <c r="E119" s="8"/>
      <c r="F119" s="91"/>
      <c r="G119" s="8"/>
      <c r="H119" s="92" t="str">
        <f t="array" ref="H119">IFS(F119="", "",F119="Organizer", 1, F119="Team Leader", 1, F119="Participant", 0.5, F119="Performer", 0.5)</f>
        <v/>
      </c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ht="15.0" customHeight="1">
      <c r="A120" s="93"/>
      <c r="B120" s="93"/>
      <c r="C120" s="91"/>
      <c r="D120" s="10"/>
      <c r="E120" s="8"/>
      <c r="F120" s="91"/>
      <c r="G120" s="8"/>
      <c r="H120" s="92" t="str">
        <f t="array" ref="H120">IFS(F120="", "",F120="Organizer", 1, F120="Team Leader", 1, F120="Participant", 0.5, F120="Performer", 0.5)</f>
        <v/>
      </c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ht="15.0" customHeight="1">
      <c r="A121" s="93"/>
      <c r="B121" s="93"/>
      <c r="C121" s="91"/>
      <c r="D121" s="10"/>
      <c r="E121" s="8"/>
      <c r="F121" s="91"/>
      <c r="G121" s="8"/>
      <c r="H121" s="92" t="str">
        <f t="array" ref="H121">IFS(F121="", "",F121="Organizer", 1, F121="Team Leader", 1, F121="Participant", 0.5, F121="Performer", 0.5)</f>
        <v/>
      </c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ht="15.0" customHeight="1">
      <c r="A122" s="93"/>
      <c r="B122" s="93"/>
      <c r="C122" s="91"/>
      <c r="D122" s="10"/>
      <c r="E122" s="8"/>
      <c r="F122" s="91"/>
      <c r="G122" s="8"/>
      <c r="H122" s="92" t="str">
        <f t="array" ref="H122">IFS(F122="", "",F122="Organizer", 1, F122="Team Leader", 1, F122="Participant", 0.5, F122="Performer", 0.5)</f>
        <v/>
      </c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ht="15.0" customHeight="1">
      <c r="A123" s="93"/>
      <c r="B123" s="93"/>
      <c r="C123" s="91"/>
      <c r="D123" s="10"/>
      <c r="E123" s="8"/>
      <c r="F123" s="91"/>
      <c r="G123" s="8"/>
      <c r="H123" s="92" t="str">
        <f t="array" ref="H123">IFS(F123="", "",F123="Organizer", 1, F123="Team Leader", 1, F123="Participant", 0.5, F123="Performer", 0.5)</f>
        <v/>
      </c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ht="15.0" customHeight="1">
      <c r="A124" s="93"/>
      <c r="B124" s="93"/>
      <c r="C124" s="91"/>
      <c r="D124" s="10"/>
      <c r="E124" s="8"/>
      <c r="F124" s="91"/>
      <c r="G124" s="8"/>
      <c r="H124" s="92" t="str">
        <f t="array" ref="H124">IFS(F124="", "",F124="Organizer", 1, F124="Team Leader", 1, F124="Participant", 0.5, F124="Performer", 0.5)</f>
        <v/>
      </c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ht="15.0" customHeight="1">
      <c r="A125" s="93"/>
      <c r="B125" s="93"/>
      <c r="C125" s="91"/>
      <c r="D125" s="10"/>
      <c r="E125" s="8"/>
      <c r="F125" s="91"/>
      <c r="G125" s="8"/>
      <c r="H125" s="92" t="str">
        <f t="array" ref="H125">IFS(F125="", "",F125="Organizer", 1, F125="Team Leader", 1, F125="Participant", 0.5, F125="Performer", 0.5)</f>
        <v/>
      </c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ht="15.0" customHeight="1">
      <c r="A126" s="93"/>
      <c r="B126" s="93"/>
      <c r="C126" s="91"/>
      <c r="D126" s="10"/>
      <c r="E126" s="8"/>
      <c r="F126" s="91"/>
      <c r="G126" s="8"/>
      <c r="H126" s="92" t="str">
        <f t="array" ref="H126">IFS(F126="", "",F126="Organizer", 1, F126="Team Leader", 1, F126="Participant", 0.5, F126="Performer", 0.5)</f>
        <v/>
      </c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ht="15.0" customHeight="1">
      <c r="A127" s="93"/>
      <c r="B127" s="93"/>
      <c r="C127" s="91"/>
      <c r="D127" s="10"/>
      <c r="E127" s="8"/>
      <c r="F127" s="91"/>
      <c r="G127" s="8"/>
      <c r="H127" s="92" t="str">
        <f t="array" ref="H127">IFS(F127="", "",F127="Organizer", 1, F127="Team Leader", 1, F127="Participant", 0.5, F127="Performer", 0.5)</f>
        <v/>
      </c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ht="15.0" customHeight="1">
      <c r="A128" s="93"/>
      <c r="B128" s="93"/>
      <c r="C128" s="91"/>
      <c r="D128" s="10"/>
      <c r="E128" s="8"/>
      <c r="F128" s="91"/>
      <c r="G128" s="8"/>
      <c r="H128" s="92" t="str">
        <f t="array" ref="H128">IFS(F128="", "",F128="Organizer", 1, F128="Team Leader", 1, F128="Participant", 0.5, F128="Performer", 0.5)</f>
        <v/>
      </c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ht="15.0" customHeight="1">
      <c r="A129" s="93"/>
      <c r="B129" s="93"/>
      <c r="C129" s="91"/>
      <c r="D129" s="10"/>
      <c r="E129" s="8"/>
      <c r="F129" s="91"/>
      <c r="G129" s="8"/>
      <c r="H129" s="92" t="str">
        <f t="array" ref="H129">IFS(F129="", "",F129="Organizer", 1, F129="Team Leader", 1, F129="Participant", 0.5, F129="Performer", 0.5)</f>
        <v/>
      </c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ht="15.0" customHeight="1">
      <c r="A130" s="93"/>
      <c r="B130" s="93"/>
      <c r="C130" s="91"/>
      <c r="D130" s="10"/>
      <c r="E130" s="8"/>
      <c r="F130" s="91"/>
      <c r="G130" s="8"/>
      <c r="H130" s="92" t="str">
        <f t="array" ref="H130">IFS(F130="", "",F130="Organizer", 1, F130="Team Leader", 1, F130="Participant", 0.5, F130="Performer", 0.5)</f>
        <v/>
      </c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ht="15.0" customHeight="1">
      <c r="A131" s="93"/>
      <c r="B131" s="93"/>
      <c r="C131" s="91"/>
      <c r="D131" s="10"/>
      <c r="E131" s="8"/>
      <c r="F131" s="91"/>
      <c r="G131" s="8"/>
      <c r="H131" s="92" t="str">
        <f t="array" ref="H131">IFS(F131="", "",F131="Organizer", 1, F131="Team Leader", 1, F131="Participant", 0.5, F131="Performer", 0.5)</f>
        <v/>
      </c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ht="15.0" customHeight="1">
      <c r="A132" s="93"/>
      <c r="B132" s="93"/>
      <c r="C132" s="91"/>
      <c r="D132" s="10"/>
      <c r="E132" s="8"/>
      <c r="F132" s="91"/>
      <c r="G132" s="8"/>
      <c r="H132" s="92" t="str">
        <f t="array" ref="H132">IFS(F132="", "",F132="Organizer", 1, F132="Team Leader", 1, F132="Participant", 0.5, F132="Performer", 0.5)</f>
        <v/>
      </c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ht="15.0" customHeight="1">
      <c r="A133" s="93"/>
      <c r="B133" s="93"/>
      <c r="C133" s="91"/>
      <c r="D133" s="10"/>
      <c r="E133" s="8"/>
      <c r="F133" s="91"/>
      <c r="G133" s="8"/>
      <c r="H133" s="92" t="str">
        <f t="array" ref="H133">IFS(F133="", "",F133="Organizer", 1, F133="Team Leader", 1, F133="Participant", 0.5, F133="Performer", 0.5)</f>
        <v/>
      </c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ht="15.0" customHeight="1">
      <c r="A134" s="93"/>
      <c r="B134" s="93"/>
      <c r="C134" s="91"/>
      <c r="D134" s="10"/>
      <c r="E134" s="8"/>
      <c r="F134" s="91"/>
      <c r="G134" s="8"/>
      <c r="H134" s="92" t="str">
        <f t="array" ref="H134">IFS(F134="", "",F134="Organizer", 1, F134="Team Leader", 1, F134="Participant", 0.5, F134="Performer", 0.5)</f>
        <v/>
      </c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ht="15.0" customHeight="1">
      <c r="A135" s="93"/>
      <c r="B135" s="93"/>
      <c r="C135" s="91"/>
      <c r="D135" s="10"/>
      <c r="E135" s="8"/>
      <c r="F135" s="91"/>
      <c r="G135" s="8"/>
      <c r="H135" s="92" t="str">
        <f t="array" ref="H135">IFS(F135="", "",F135="Organizer", 1, F135="Team Leader", 1, F135="Participant", 0.5, F135="Performer", 0.5)</f>
        <v/>
      </c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ht="15.0" customHeight="1">
      <c r="A136" s="93"/>
      <c r="B136" s="93"/>
      <c r="C136" s="91"/>
      <c r="D136" s="10"/>
      <c r="E136" s="8"/>
      <c r="F136" s="91"/>
      <c r="G136" s="8"/>
      <c r="H136" s="92" t="str">
        <f t="array" ref="H136">IFS(F136="", "",F136="Organizer", 1, F136="Team Leader", 1, F136="Participant", 0.5, F136="Performer", 0.5)</f>
        <v/>
      </c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ht="15.0" customHeight="1">
      <c r="A137" s="93"/>
      <c r="B137" s="93"/>
      <c r="C137" s="91"/>
      <c r="D137" s="10"/>
      <c r="E137" s="8"/>
      <c r="F137" s="91"/>
      <c r="G137" s="8"/>
      <c r="H137" s="92" t="str">
        <f t="array" ref="H137">IFS(F137="", "",F137="Organizer", 1, F137="Team Leader", 1, F137="Participant", 0.5, F137="Performer", 0.5)</f>
        <v/>
      </c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ht="15.0" customHeight="1">
      <c r="A138" s="93"/>
      <c r="B138" s="93"/>
      <c r="C138" s="91"/>
      <c r="D138" s="10"/>
      <c r="E138" s="8"/>
      <c r="F138" s="91"/>
      <c r="G138" s="8"/>
      <c r="H138" s="92" t="str">
        <f t="array" ref="H138">IFS(F138="", "",F138="Organizer", 1, F138="Team Leader", 1, F138="Participant", 0.5, F138="Performer", 0.5)</f>
        <v/>
      </c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ht="15.0" customHeight="1">
      <c r="A139" s="93"/>
      <c r="B139" s="93"/>
      <c r="C139" s="91"/>
      <c r="D139" s="10"/>
      <c r="E139" s="8"/>
      <c r="F139" s="91"/>
      <c r="G139" s="8"/>
      <c r="H139" s="92" t="str">
        <f t="array" ref="H139">IFS(F139="", "",F139="Organizer", 1, F139="Team Leader", 1, F139="Participant", 0.5, F139="Performer", 0.5)</f>
        <v/>
      </c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ht="15.0" customHeight="1">
      <c r="A140" s="93"/>
      <c r="B140" s="93"/>
      <c r="C140" s="91"/>
      <c r="D140" s="10"/>
      <c r="E140" s="8"/>
      <c r="F140" s="91"/>
      <c r="G140" s="8"/>
      <c r="H140" s="92" t="str">
        <f t="array" ref="H140">IFS(F140="", "",F140="Organizer", 1, F140="Team Leader", 1, F140="Participant", 0.5, F140="Performer", 0.5)</f>
        <v/>
      </c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ht="15.0" customHeight="1">
      <c r="A141" s="93"/>
      <c r="B141" s="93"/>
      <c r="C141" s="91"/>
      <c r="D141" s="10"/>
      <c r="E141" s="8"/>
      <c r="F141" s="91"/>
      <c r="G141" s="8"/>
      <c r="H141" s="92" t="str">
        <f t="array" ref="H141">IFS(F141="", "",F141="Organizer", 1, F141="Team Leader", 1, F141="Participant", 0.5, F141="Performer", 0.5)</f>
        <v/>
      </c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ht="15.0" customHeight="1">
      <c r="A142" s="93"/>
      <c r="B142" s="93"/>
      <c r="C142" s="91"/>
      <c r="D142" s="10"/>
      <c r="E142" s="8"/>
      <c r="F142" s="91"/>
      <c r="G142" s="8"/>
      <c r="H142" s="92" t="str">
        <f t="array" ref="H142">IFS(F142="", "",F142="Organizer", 1, F142="Team Leader", 1, F142="Participant", 0.5, F142="Performer", 0.5)</f>
        <v/>
      </c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ht="15.0" customHeight="1">
      <c r="A143" s="93"/>
      <c r="B143" s="93"/>
      <c r="C143" s="91"/>
      <c r="D143" s="10"/>
      <c r="E143" s="8"/>
      <c r="F143" s="91"/>
      <c r="G143" s="8"/>
      <c r="H143" s="92" t="str">
        <f t="array" ref="H143">IFS(F143="", "",F143="Organizer", 1, F143="Team Leader", 1, F143="Participant", 0.5, F143="Performer", 0.5)</f>
        <v/>
      </c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ht="15.0" customHeight="1">
      <c r="A144" s="93"/>
      <c r="B144" s="93"/>
      <c r="C144" s="91"/>
      <c r="D144" s="10"/>
      <c r="E144" s="8"/>
      <c r="F144" s="91"/>
      <c r="G144" s="8"/>
      <c r="H144" s="92" t="str">
        <f t="array" ref="H144">IFS(F144="", "",F144="Organizer", 1, F144="Team Leader", 1, F144="Participant", 0.5, F144="Performer", 0.5)</f>
        <v/>
      </c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ht="15.0" customHeight="1">
      <c r="A145" s="93"/>
      <c r="B145" s="93"/>
      <c r="C145" s="91"/>
      <c r="D145" s="10"/>
      <c r="E145" s="8"/>
      <c r="F145" s="91"/>
      <c r="G145" s="8"/>
      <c r="H145" s="92" t="str">
        <f t="array" ref="H145">IFS(F145="", "",F145="Organizer", 1, F145="Team Leader", 1, F145="Participant", 0.5, F145="Performer", 0.5)</f>
        <v/>
      </c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ht="15.0" customHeight="1">
      <c r="A146" s="93"/>
      <c r="B146" s="93"/>
      <c r="C146" s="91"/>
      <c r="D146" s="10"/>
      <c r="E146" s="8"/>
      <c r="F146" s="91"/>
      <c r="G146" s="8"/>
      <c r="H146" s="92" t="str">
        <f t="array" ref="H146">IFS(F146="", "",F146="Organizer", 1, F146="Team Leader", 1, F146="Participant", 0.5, F146="Performer", 0.5)</f>
        <v/>
      </c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ht="15.0" customHeight="1">
      <c r="A147" s="93"/>
      <c r="B147" s="93"/>
      <c r="C147" s="91"/>
      <c r="D147" s="10"/>
      <c r="E147" s="8"/>
      <c r="F147" s="91"/>
      <c r="G147" s="8"/>
      <c r="H147" s="92" t="str">
        <f t="array" ref="H147">IFS(F147="", "",F147="Organizer", 1, F147="Team Leader", 1, F147="Participant", 0.5, F147="Performer", 0.5)</f>
        <v/>
      </c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ht="15.0" customHeight="1">
      <c r="A148" s="93"/>
      <c r="B148" s="93"/>
      <c r="C148" s="91"/>
      <c r="D148" s="10"/>
      <c r="E148" s="8"/>
      <c r="F148" s="91"/>
      <c r="G148" s="8"/>
      <c r="H148" s="92" t="str">
        <f t="array" ref="H148">IFS(F148="", "",F148="Organizer", 1, F148="Team Leader", 1, F148="Participant", 0.5, F148="Performer", 0.5)</f>
        <v/>
      </c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ht="15.0" customHeight="1">
      <c r="A149" s="93"/>
      <c r="B149" s="93"/>
      <c r="C149" s="91"/>
      <c r="D149" s="10"/>
      <c r="E149" s="8"/>
      <c r="F149" s="91"/>
      <c r="G149" s="8"/>
      <c r="H149" s="92" t="str">
        <f t="array" ref="H149">IFS(F149="", "",F149="Organizer", 1, F149="Team Leader", 1, F149="Participant", 0.5, F149="Performer", 0.5)</f>
        <v/>
      </c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ht="15.0" customHeight="1">
      <c r="A150" s="93"/>
      <c r="B150" s="93"/>
      <c r="C150" s="91"/>
      <c r="D150" s="10"/>
      <c r="E150" s="8"/>
      <c r="F150" s="91"/>
      <c r="G150" s="8"/>
      <c r="H150" s="92" t="str">
        <f t="array" ref="H150">IFS(F150="", "",F150="Organizer", 1, F150="Team Leader", 1, F150="Participant", 0.5, F150="Performer", 0.5)</f>
        <v/>
      </c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ht="15.0" customHeight="1">
      <c r="A151" s="93"/>
      <c r="B151" s="93"/>
      <c r="C151" s="91"/>
      <c r="D151" s="10"/>
      <c r="E151" s="8"/>
      <c r="F151" s="91"/>
      <c r="G151" s="8"/>
      <c r="H151" s="92" t="str">
        <f t="array" ref="H151">IFS(F151="", "",F151="Organizer", 1, F151="Team Leader", 1, F151="Participant", 0.5, F151="Performer", 0.5)</f>
        <v/>
      </c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ht="15.0" customHeight="1">
      <c r="A152" s="93"/>
      <c r="B152" s="93"/>
      <c r="C152" s="91"/>
      <c r="D152" s="10"/>
      <c r="E152" s="8"/>
      <c r="F152" s="91"/>
      <c r="G152" s="8"/>
      <c r="H152" s="92" t="str">
        <f t="array" ref="H152">IFS(F152="", "",F152="Organizer", 1, F152="Team Leader", 1, F152="Participant", 0.5, F152="Performer", 0.5)</f>
        <v/>
      </c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ht="15.0" customHeight="1">
      <c r="A153" s="93"/>
      <c r="B153" s="93"/>
      <c r="C153" s="91"/>
      <c r="D153" s="10"/>
      <c r="E153" s="8"/>
      <c r="F153" s="91"/>
      <c r="G153" s="8"/>
      <c r="H153" s="92" t="str">
        <f t="array" ref="H153">IFS(F153="", "",F153="Organizer", 1, F153="Team Leader", 1, F153="Participant", 0.5, F153="Performer", 0.5)</f>
        <v/>
      </c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ht="15.0" customHeight="1">
      <c r="A154" s="93"/>
      <c r="B154" s="93"/>
      <c r="C154" s="91"/>
      <c r="D154" s="10"/>
      <c r="E154" s="8"/>
      <c r="F154" s="91"/>
      <c r="G154" s="8"/>
      <c r="H154" s="92" t="str">
        <f t="array" ref="H154">IFS(F154="", "",F154="Organizer", 1, F154="Team Leader", 1, F154="Participant", 0.5, F154="Performer", 0.5)</f>
        <v/>
      </c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ht="15.0" customHeight="1">
      <c r="A155" s="93"/>
      <c r="B155" s="93"/>
      <c r="C155" s="91"/>
      <c r="D155" s="10"/>
      <c r="E155" s="8"/>
      <c r="F155" s="91"/>
      <c r="G155" s="8"/>
      <c r="H155" s="92" t="str">
        <f t="array" ref="H155">IFS(F155="", "",F155="Organizer", 1, F155="Team Leader", 1, F155="Participant", 0.5, F155="Performer", 0.5)</f>
        <v/>
      </c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ht="15.0" customHeight="1">
      <c r="A156" s="93"/>
      <c r="B156" s="93"/>
      <c r="C156" s="91"/>
      <c r="D156" s="10"/>
      <c r="E156" s="8"/>
      <c r="F156" s="91"/>
      <c r="G156" s="8"/>
      <c r="H156" s="92" t="str">
        <f t="array" ref="H156">IFS(F156="", "",F156="Organizer", 1, F156="Team Leader", 1, F156="Participant", 0.5, F156="Performer", 0.5)</f>
        <v/>
      </c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ht="15.0" customHeight="1">
      <c r="A157" s="95" t="s">
        <v>49</v>
      </c>
      <c r="B157" s="10"/>
      <c r="C157" s="10"/>
      <c r="D157" s="10"/>
      <c r="E157" s="10"/>
      <c r="F157" s="10"/>
      <c r="G157" s="8"/>
      <c r="H157" s="89">
        <f>SUM(H107:H156)</f>
        <v>3</v>
      </c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ht="15.0" customHeight="1">
      <c r="A158" s="88" t="s">
        <v>128</v>
      </c>
      <c r="B158" s="10"/>
      <c r="C158" s="10"/>
      <c r="D158" s="10"/>
      <c r="E158" s="10"/>
      <c r="F158" s="10"/>
      <c r="G158" s="10"/>
      <c r="H158" s="8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ht="50.25" customHeight="1">
      <c r="A159" s="89" t="s">
        <v>129</v>
      </c>
      <c r="B159" s="89" t="s">
        <v>106</v>
      </c>
      <c r="C159" s="90" t="s">
        <v>107</v>
      </c>
      <c r="D159" s="10"/>
      <c r="E159" s="8"/>
      <c r="F159" s="91" t="s">
        <v>108</v>
      </c>
      <c r="G159" s="8"/>
      <c r="H159" s="92" t="s">
        <v>48</v>
      </c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ht="15.0" customHeight="1">
      <c r="A160" s="93"/>
      <c r="B160" s="93"/>
      <c r="C160" s="91"/>
      <c r="D160" s="10"/>
      <c r="E160" s="8"/>
      <c r="F160" s="91" t="s">
        <v>109</v>
      </c>
      <c r="G160" s="8"/>
      <c r="H160" s="92">
        <f t="array" ref="H160">IFS(F160="", "",F160="Organizer", 0.5, F160="Team Leader", 0.5, F160="Participant", 0.25, F160="Performer", 0.25)</f>
        <v>0.5</v>
      </c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ht="15.0" customHeight="1">
      <c r="A161" s="93"/>
      <c r="B161" s="93"/>
      <c r="C161" s="91"/>
      <c r="D161" s="10"/>
      <c r="E161" s="8"/>
      <c r="F161" s="91" t="s">
        <v>62</v>
      </c>
      <c r="G161" s="8"/>
      <c r="H161" s="92">
        <f t="array" ref="H161">IFS(F161="", "",F161="Organizer", 0.5, F161="Team Leader", 0.5, F161="Participant", 0.25, F161="Performer", 0.25)</f>
        <v>0.5</v>
      </c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ht="15.0" customHeight="1">
      <c r="A162" s="93"/>
      <c r="B162" s="93"/>
      <c r="C162" s="91"/>
      <c r="D162" s="10"/>
      <c r="E162" s="8"/>
      <c r="F162" s="91"/>
      <c r="G162" s="8"/>
      <c r="H162" s="92" t="str">
        <f t="array" ref="H162">IFS(F162="", "",F162="Organizer", 0.5, F162="Team Leader", 0.5, F162="Participant", 0.25, F162="Performer", 0.25)</f>
        <v/>
      </c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ht="15.0" customHeight="1">
      <c r="A163" s="93"/>
      <c r="B163" s="93"/>
      <c r="C163" s="91"/>
      <c r="D163" s="10"/>
      <c r="E163" s="8"/>
      <c r="F163" s="91"/>
      <c r="G163" s="8"/>
      <c r="H163" s="92" t="str">
        <f t="array" ref="H163">IFS(F163="", "",F163="Organizer", 0.5, F163="Team Leader", 0.5, F163="Participant", 0.25, F163="Performer", 0.25)</f>
        <v/>
      </c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ht="15.0" customHeight="1">
      <c r="A164" s="93"/>
      <c r="B164" s="93"/>
      <c r="C164" s="91"/>
      <c r="D164" s="10"/>
      <c r="E164" s="8"/>
      <c r="F164" s="91"/>
      <c r="G164" s="8"/>
      <c r="H164" s="92" t="str">
        <f t="array" ref="H164">IFS(F164="", "",F164="Organizer", 0.5, F164="Team Leader", 0.5, F164="Participant", 0.25, F164="Performer", 0.25)</f>
        <v/>
      </c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ht="15.0" customHeight="1">
      <c r="A165" s="93"/>
      <c r="B165" s="93"/>
      <c r="C165" s="91"/>
      <c r="D165" s="10"/>
      <c r="E165" s="8"/>
      <c r="F165" s="91"/>
      <c r="G165" s="8"/>
      <c r="H165" s="92" t="str">
        <f t="array" ref="H165">IFS(F165="", "",F165="Organizer", 0.5, F165="Team Leader", 0.5, F165="Participant", 0.25, F165="Performer", 0.25)</f>
        <v/>
      </c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ht="15.0" customHeight="1">
      <c r="A166" s="93"/>
      <c r="B166" s="93"/>
      <c r="C166" s="91"/>
      <c r="D166" s="10"/>
      <c r="E166" s="8"/>
      <c r="F166" s="91"/>
      <c r="G166" s="8"/>
      <c r="H166" s="92" t="str">
        <f t="array" ref="H166">IFS(F166="", "",F166="Organizer", 0.5, F166="Team Leader", 0.5, F166="Participant", 0.25, F166="Performer", 0.25)</f>
        <v/>
      </c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ht="15.0" customHeight="1">
      <c r="A167" s="93"/>
      <c r="B167" s="93"/>
      <c r="C167" s="91"/>
      <c r="D167" s="10"/>
      <c r="E167" s="8"/>
      <c r="F167" s="91"/>
      <c r="G167" s="8"/>
      <c r="H167" s="92" t="str">
        <f t="array" ref="H167">IFS(F167="", "",F167="Organizer", 0.5, F167="Team Leader", 0.5, F167="Participant", 0.25, F167="Performer", 0.25)</f>
        <v/>
      </c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ht="15.0" customHeight="1">
      <c r="A168" s="93"/>
      <c r="B168" s="93"/>
      <c r="C168" s="91"/>
      <c r="D168" s="10"/>
      <c r="E168" s="8"/>
      <c r="F168" s="91"/>
      <c r="G168" s="8"/>
      <c r="H168" s="92" t="str">
        <f t="array" ref="H168">IFS(F168="", "",F168="Organizer", 0.5, F168="Team Leader", 0.5, F168="Participant", 0.25, F168="Performer", 0.25)</f>
        <v/>
      </c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ht="15.0" customHeight="1">
      <c r="A169" s="93"/>
      <c r="B169" s="93"/>
      <c r="C169" s="91"/>
      <c r="D169" s="10"/>
      <c r="E169" s="8"/>
      <c r="F169" s="91"/>
      <c r="G169" s="8"/>
      <c r="H169" s="92" t="str">
        <f t="array" ref="H169">IFS(F169="", "",F169="Organizer", 0.5, F169="Team Leader", 0.5, F169="Participant", 0.25, F169="Performer", 0.25)</f>
        <v/>
      </c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ht="15.0" customHeight="1">
      <c r="A170" s="93"/>
      <c r="B170" s="93"/>
      <c r="C170" s="91"/>
      <c r="D170" s="10"/>
      <c r="E170" s="8"/>
      <c r="F170" s="91"/>
      <c r="G170" s="8"/>
      <c r="H170" s="92" t="str">
        <f t="array" ref="H170">IFS(F170="", "",F170="Organizer", 0.5, F170="Team Leader", 0.5, F170="Participant", 0.25, F170="Performer", 0.25)</f>
        <v/>
      </c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ht="15.0" customHeight="1">
      <c r="A171" s="93"/>
      <c r="B171" s="93"/>
      <c r="C171" s="91"/>
      <c r="D171" s="10"/>
      <c r="E171" s="8"/>
      <c r="F171" s="91"/>
      <c r="G171" s="8"/>
      <c r="H171" s="92" t="str">
        <f t="array" ref="H171">IFS(F171="", "",F171="Organizer", 0.5, F171="Team Leader", 0.5, F171="Participant", 0.25, F171="Performer", 0.25)</f>
        <v/>
      </c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ht="15.0" customHeight="1">
      <c r="A172" s="93"/>
      <c r="B172" s="93"/>
      <c r="C172" s="91"/>
      <c r="D172" s="10"/>
      <c r="E172" s="8"/>
      <c r="F172" s="91"/>
      <c r="G172" s="8"/>
      <c r="H172" s="92" t="str">
        <f t="array" ref="H172">IFS(F172="", "",F172="Organizer", 0.5, F172="Team Leader", 0.5, F172="Participant", 0.25, F172="Performer", 0.25)</f>
        <v/>
      </c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ht="15.0" customHeight="1">
      <c r="A173" s="93"/>
      <c r="B173" s="93"/>
      <c r="C173" s="91"/>
      <c r="D173" s="10"/>
      <c r="E173" s="8"/>
      <c r="F173" s="91"/>
      <c r="G173" s="8"/>
      <c r="H173" s="92" t="str">
        <f t="array" ref="H173">IFS(F173="", "",F173="Organizer", 0.5, F173="Team Leader", 0.5, F173="Participant", 0.25, F173="Performer", 0.25)</f>
        <v/>
      </c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ht="15.0" customHeight="1">
      <c r="A174" s="93"/>
      <c r="B174" s="93"/>
      <c r="C174" s="91"/>
      <c r="D174" s="10"/>
      <c r="E174" s="8"/>
      <c r="F174" s="91"/>
      <c r="G174" s="8"/>
      <c r="H174" s="92" t="str">
        <f t="array" ref="H174">IFS(F174="", "",F174="Organizer", 0.5, F174="Team Leader", 0.5, F174="Participant", 0.25, F174="Performer", 0.25)</f>
        <v/>
      </c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ht="15.0" customHeight="1">
      <c r="A175" s="93"/>
      <c r="B175" s="93"/>
      <c r="C175" s="91"/>
      <c r="D175" s="10"/>
      <c r="E175" s="8"/>
      <c r="F175" s="91"/>
      <c r="G175" s="8"/>
      <c r="H175" s="92" t="str">
        <f t="array" ref="H175">IFS(F175="", "",F175="Organizer", 0.5, F175="Team Leader", 0.5, F175="Participant", 0.25, F175="Performer", 0.25)</f>
        <v/>
      </c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ht="15.0" customHeight="1">
      <c r="A176" s="93"/>
      <c r="B176" s="93"/>
      <c r="C176" s="91"/>
      <c r="D176" s="10"/>
      <c r="E176" s="8"/>
      <c r="F176" s="91"/>
      <c r="G176" s="8"/>
      <c r="H176" s="92" t="str">
        <f t="array" ref="H176">IFS(F176="", "",F176="Organizer", 0.5, F176="Team Leader", 0.5, F176="Participant", 0.25, F176="Performer", 0.25)</f>
        <v/>
      </c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ht="15.0" customHeight="1">
      <c r="A177" s="93"/>
      <c r="B177" s="93"/>
      <c r="C177" s="91"/>
      <c r="D177" s="10"/>
      <c r="E177" s="8"/>
      <c r="F177" s="91"/>
      <c r="G177" s="8"/>
      <c r="H177" s="92" t="str">
        <f t="array" ref="H177">IFS(F177="", "",F177="Organizer", 0.5, F177="Team Leader", 0.5, F177="Participant", 0.25, F177="Performer", 0.25)</f>
        <v/>
      </c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ht="15.0" customHeight="1">
      <c r="A178" s="93"/>
      <c r="B178" s="93"/>
      <c r="C178" s="91"/>
      <c r="D178" s="10"/>
      <c r="E178" s="8"/>
      <c r="F178" s="91"/>
      <c r="G178" s="8"/>
      <c r="H178" s="92" t="str">
        <f t="array" ref="H178">IFS(F178="", "",F178="Organizer", 0.5, F178="Team Leader", 0.5, F178="Participant", 0.25, F178="Performer", 0.25)</f>
        <v/>
      </c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ht="15.0" customHeight="1">
      <c r="A179" s="93"/>
      <c r="B179" s="93"/>
      <c r="C179" s="91"/>
      <c r="D179" s="10"/>
      <c r="E179" s="8"/>
      <c r="F179" s="91"/>
      <c r="G179" s="8"/>
      <c r="H179" s="92" t="str">
        <f t="array" ref="H179">IFS(F179="", "",F179="Organizer", 0.5, F179="Team Leader", 0.5, F179="Participant", 0.25, F179="Performer", 0.25)</f>
        <v/>
      </c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ht="15.0" customHeight="1">
      <c r="A180" s="93"/>
      <c r="B180" s="93"/>
      <c r="C180" s="91"/>
      <c r="D180" s="10"/>
      <c r="E180" s="8"/>
      <c r="F180" s="91"/>
      <c r="G180" s="8"/>
      <c r="H180" s="92" t="str">
        <f t="array" ref="H180">IFS(F180="", "",F180="Organizer", 0.5, F180="Team Leader", 0.5, F180="Participant", 0.25, F180="Performer", 0.25)</f>
        <v/>
      </c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ht="15.0" customHeight="1">
      <c r="A181" s="93"/>
      <c r="B181" s="93"/>
      <c r="C181" s="91"/>
      <c r="D181" s="10"/>
      <c r="E181" s="8"/>
      <c r="F181" s="91"/>
      <c r="G181" s="8"/>
      <c r="H181" s="92" t="str">
        <f t="array" ref="H181">IFS(F181="", "",F181="Organizer", 0.5, F181="Team Leader", 0.5, F181="Participant", 0.25, F181="Performer", 0.25)</f>
        <v/>
      </c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ht="15.0" customHeight="1">
      <c r="A182" s="93"/>
      <c r="B182" s="93"/>
      <c r="C182" s="91"/>
      <c r="D182" s="10"/>
      <c r="E182" s="8"/>
      <c r="F182" s="91"/>
      <c r="G182" s="8"/>
      <c r="H182" s="92" t="str">
        <f t="array" ref="H182">IFS(F182="", "",F182="Organizer", 0.5, F182="Team Leader", 0.5, F182="Participant", 0.25, F182="Performer", 0.25)</f>
        <v/>
      </c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ht="15.0" customHeight="1">
      <c r="A183" s="93"/>
      <c r="B183" s="93"/>
      <c r="C183" s="91"/>
      <c r="D183" s="10"/>
      <c r="E183" s="8"/>
      <c r="F183" s="91"/>
      <c r="G183" s="8"/>
      <c r="H183" s="92" t="str">
        <f t="array" ref="H183">IFS(F183="", "",F183="Organizer", 0.5, F183="Team Leader", 0.5, F183="Participant", 0.25, F183="Performer", 0.25)</f>
        <v/>
      </c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ht="15.0" customHeight="1">
      <c r="A184" s="93"/>
      <c r="B184" s="93"/>
      <c r="C184" s="91"/>
      <c r="D184" s="10"/>
      <c r="E184" s="8"/>
      <c r="F184" s="91"/>
      <c r="G184" s="8"/>
      <c r="H184" s="92" t="str">
        <f t="array" ref="H184">IFS(F184="", "",F184="Organizer", 0.5, F184="Team Leader", 0.5, F184="Participant", 0.25, F184="Performer", 0.25)</f>
        <v/>
      </c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ht="15.0" customHeight="1">
      <c r="A185" s="93"/>
      <c r="B185" s="93"/>
      <c r="C185" s="91"/>
      <c r="D185" s="10"/>
      <c r="E185" s="8"/>
      <c r="F185" s="91"/>
      <c r="G185" s="8"/>
      <c r="H185" s="92" t="str">
        <f t="array" ref="H185">IFS(F185="", "",F185="Organizer", 0.5, F185="Team Leader", 0.5, F185="Participant", 0.25, F185="Performer", 0.25)</f>
        <v/>
      </c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ht="15.0" customHeight="1">
      <c r="A186" s="93"/>
      <c r="B186" s="93"/>
      <c r="C186" s="91"/>
      <c r="D186" s="10"/>
      <c r="E186" s="8"/>
      <c r="F186" s="91"/>
      <c r="G186" s="8"/>
      <c r="H186" s="92" t="str">
        <f t="array" ref="H186">IFS(F186="", "",F186="Organizer", 0.5, F186="Team Leader", 0.5, F186="Participant", 0.25, F186="Performer", 0.25)</f>
        <v/>
      </c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ht="15.0" customHeight="1">
      <c r="A187" s="93"/>
      <c r="B187" s="93"/>
      <c r="C187" s="91"/>
      <c r="D187" s="10"/>
      <c r="E187" s="8"/>
      <c r="F187" s="91"/>
      <c r="G187" s="8"/>
      <c r="H187" s="92" t="str">
        <f t="array" ref="H187">IFS(F187="", "",F187="Organizer", 0.5, F187="Team Leader", 0.5, F187="Participant", 0.25, F187="Performer", 0.25)</f>
        <v/>
      </c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ht="15.0" customHeight="1">
      <c r="A188" s="93"/>
      <c r="B188" s="93"/>
      <c r="C188" s="91"/>
      <c r="D188" s="10"/>
      <c r="E188" s="8"/>
      <c r="F188" s="91"/>
      <c r="G188" s="8"/>
      <c r="H188" s="92" t="str">
        <f t="array" ref="H188">IFS(F188="", "",F188="Organizer", 0.5, F188="Team Leader", 0.5, F188="Participant", 0.25, F188="Performer", 0.25)</f>
        <v/>
      </c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ht="15.0" customHeight="1">
      <c r="A189" s="93"/>
      <c r="B189" s="93"/>
      <c r="C189" s="91"/>
      <c r="D189" s="10"/>
      <c r="E189" s="8"/>
      <c r="F189" s="91"/>
      <c r="G189" s="8"/>
      <c r="H189" s="92" t="str">
        <f t="array" ref="H189">IFS(F189="", "",F189="Organizer", 0.5, F189="Team Leader", 0.5, F189="Participant", 0.25, F189="Performer", 0.25)</f>
        <v/>
      </c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ht="15.0" customHeight="1">
      <c r="A190" s="93"/>
      <c r="B190" s="93"/>
      <c r="C190" s="91"/>
      <c r="D190" s="10"/>
      <c r="E190" s="8"/>
      <c r="F190" s="91"/>
      <c r="G190" s="8"/>
      <c r="H190" s="92" t="str">
        <f t="array" ref="H190">IFS(F190="", "",F190="Organizer", 0.5, F190="Team Leader", 0.5, F190="Participant", 0.25, F190="Performer", 0.25)</f>
        <v/>
      </c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ht="15.0" customHeight="1">
      <c r="A191" s="93"/>
      <c r="B191" s="93"/>
      <c r="C191" s="91"/>
      <c r="D191" s="10"/>
      <c r="E191" s="8"/>
      <c r="F191" s="91"/>
      <c r="G191" s="8"/>
      <c r="H191" s="92" t="str">
        <f t="array" ref="H191">IFS(F191="", "",F191="Organizer", 0.5, F191="Team Leader", 0.5, F191="Participant", 0.25, F191="Performer", 0.25)</f>
        <v/>
      </c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ht="15.0" customHeight="1">
      <c r="A192" s="93"/>
      <c r="B192" s="93"/>
      <c r="C192" s="91"/>
      <c r="D192" s="10"/>
      <c r="E192" s="8"/>
      <c r="F192" s="91"/>
      <c r="G192" s="8"/>
      <c r="H192" s="92" t="str">
        <f t="array" ref="H192">IFS(F192="", "",F192="Organizer", 0.5, F192="Team Leader", 0.5, F192="Participant", 0.25, F192="Performer", 0.25)</f>
        <v/>
      </c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ht="15.0" customHeight="1">
      <c r="A193" s="93"/>
      <c r="B193" s="93"/>
      <c r="C193" s="91"/>
      <c r="D193" s="10"/>
      <c r="E193" s="8"/>
      <c r="F193" s="91"/>
      <c r="G193" s="8"/>
      <c r="H193" s="92" t="str">
        <f t="array" ref="H193">IFS(F193="", "",F193="Organizer", 0.5, F193="Team Leader", 0.5, F193="Participant", 0.25, F193="Performer", 0.25)</f>
        <v/>
      </c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ht="15.0" customHeight="1">
      <c r="A194" s="93"/>
      <c r="B194" s="93"/>
      <c r="C194" s="91"/>
      <c r="D194" s="10"/>
      <c r="E194" s="8"/>
      <c r="F194" s="91"/>
      <c r="G194" s="8"/>
      <c r="H194" s="92" t="str">
        <f t="array" ref="H194">IFS(F194="", "",F194="Organizer", 0.5, F194="Team Leader", 0.5, F194="Participant", 0.25, F194="Performer", 0.25)</f>
        <v/>
      </c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ht="15.0" customHeight="1">
      <c r="A195" s="93"/>
      <c r="B195" s="93"/>
      <c r="C195" s="91"/>
      <c r="D195" s="10"/>
      <c r="E195" s="8"/>
      <c r="F195" s="91"/>
      <c r="G195" s="8"/>
      <c r="H195" s="92" t="str">
        <f t="array" ref="H195">IFS(F195="", "",F195="Organizer", 0.5, F195="Team Leader", 0.5, F195="Participant", 0.25, F195="Performer", 0.25)</f>
        <v/>
      </c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ht="15.0" customHeight="1">
      <c r="A196" s="93"/>
      <c r="B196" s="93"/>
      <c r="C196" s="91"/>
      <c r="D196" s="10"/>
      <c r="E196" s="8"/>
      <c r="F196" s="91"/>
      <c r="G196" s="8"/>
      <c r="H196" s="92" t="str">
        <f t="array" ref="H196">IFS(F196="", "",F196="Organizer", 0.5, F196="Team Leader", 0.5, F196="Participant", 0.25, F196="Performer", 0.25)</f>
        <v/>
      </c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ht="15.0" customHeight="1">
      <c r="A197" s="93"/>
      <c r="B197" s="93"/>
      <c r="C197" s="91"/>
      <c r="D197" s="10"/>
      <c r="E197" s="8"/>
      <c r="F197" s="91"/>
      <c r="G197" s="8"/>
      <c r="H197" s="92" t="str">
        <f t="array" ref="H197">IFS(F197="", "",F197="Organizer", 0.5, F197="Team Leader", 0.5, F197="Participant", 0.25, F197="Performer", 0.25)</f>
        <v/>
      </c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ht="15.0" customHeight="1">
      <c r="A198" s="93"/>
      <c r="B198" s="93"/>
      <c r="C198" s="91"/>
      <c r="D198" s="10"/>
      <c r="E198" s="8"/>
      <c r="F198" s="91"/>
      <c r="G198" s="8"/>
      <c r="H198" s="92" t="str">
        <f t="array" ref="H198">IFS(F198="", "",F198="Organizer", 0.5, F198="Team Leader", 0.5, F198="Participant", 0.25, F198="Performer", 0.25)</f>
        <v/>
      </c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ht="15.0" customHeight="1">
      <c r="A199" s="93"/>
      <c r="B199" s="93"/>
      <c r="C199" s="91"/>
      <c r="D199" s="10"/>
      <c r="E199" s="8"/>
      <c r="F199" s="91"/>
      <c r="G199" s="8"/>
      <c r="H199" s="92" t="str">
        <f t="array" ref="H199">IFS(F199="", "",F199="Organizer", 0.5, F199="Team Leader", 0.5, F199="Participant", 0.25, F199="Performer", 0.25)</f>
        <v/>
      </c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ht="15.0" customHeight="1">
      <c r="A200" s="93"/>
      <c r="B200" s="93"/>
      <c r="C200" s="91"/>
      <c r="D200" s="10"/>
      <c r="E200" s="8"/>
      <c r="F200" s="91"/>
      <c r="G200" s="8"/>
      <c r="H200" s="92" t="str">
        <f t="array" ref="H200">IFS(F200="", "",F200="Organizer", 0.5, F200="Team Leader", 0.5, F200="Participant", 0.25, F200="Performer", 0.25)</f>
        <v/>
      </c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ht="15.0" customHeight="1">
      <c r="A201" s="93"/>
      <c r="B201" s="93"/>
      <c r="C201" s="91"/>
      <c r="D201" s="10"/>
      <c r="E201" s="8"/>
      <c r="F201" s="91"/>
      <c r="G201" s="8"/>
      <c r="H201" s="92" t="str">
        <f t="array" ref="H201">IFS(F201="", "",F201="Organizer", 0.5, F201="Team Leader", 0.5, F201="Participant", 0.25, F201="Performer", 0.25)</f>
        <v/>
      </c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ht="15.0" customHeight="1">
      <c r="A202" s="93"/>
      <c r="B202" s="93"/>
      <c r="C202" s="91"/>
      <c r="D202" s="10"/>
      <c r="E202" s="8"/>
      <c r="F202" s="91"/>
      <c r="G202" s="8"/>
      <c r="H202" s="92" t="str">
        <f t="array" ref="H202">IFS(F202="", "",F202="Organizer", 0.5, F202="Team Leader", 0.5, F202="Participant", 0.25, F202="Performer", 0.25)</f>
        <v/>
      </c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ht="15.0" customHeight="1">
      <c r="A203" s="93"/>
      <c r="B203" s="93"/>
      <c r="C203" s="91"/>
      <c r="D203" s="10"/>
      <c r="E203" s="8"/>
      <c r="F203" s="91"/>
      <c r="G203" s="8"/>
      <c r="H203" s="92" t="str">
        <f t="array" ref="H203">IFS(F203="", "",F203="Organizer", 0.5, F203="Team Leader", 0.5, F203="Participant", 0.25, F203="Performer", 0.25)</f>
        <v/>
      </c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ht="15.0" customHeight="1">
      <c r="A204" s="93"/>
      <c r="B204" s="93"/>
      <c r="C204" s="91"/>
      <c r="D204" s="10"/>
      <c r="E204" s="8"/>
      <c r="F204" s="91"/>
      <c r="G204" s="8"/>
      <c r="H204" s="92" t="str">
        <f t="array" ref="H204">IFS(F204="", "",F204="Organizer", 0.5, F204="Team Leader", 0.5, F204="Participant", 0.25, F204="Performer", 0.25)</f>
        <v/>
      </c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ht="15.0" customHeight="1">
      <c r="A205" s="93"/>
      <c r="B205" s="93"/>
      <c r="C205" s="91"/>
      <c r="D205" s="10"/>
      <c r="E205" s="8"/>
      <c r="F205" s="91"/>
      <c r="G205" s="8"/>
      <c r="H205" s="92" t="str">
        <f t="array" ref="H205">IFS(F205="", "",F205="Organizer", 0.5, F205="Team Leader", 0.5, F205="Participant", 0.25, F205="Performer", 0.25)</f>
        <v/>
      </c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ht="15.0" customHeight="1">
      <c r="A206" s="93"/>
      <c r="B206" s="93"/>
      <c r="C206" s="91"/>
      <c r="D206" s="10"/>
      <c r="E206" s="8"/>
      <c r="F206" s="91"/>
      <c r="G206" s="8"/>
      <c r="H206" s="92" t="str">
        <f t="array" ref="H206">IFS(F206="", "",F206="Organizer", 0.5, F206="Team Leader", 0.5, F206="Participant", 0.25, F206="Performer", 0.25)</f>
        <v/>
      </c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ht="15.0" customHeight="1">
      <c r="A207" s="93"/>
      <c r="B207" s="93"/>
      <c r="C207" s="91"/>
      <c r="D207" s="10"/>
      <c r="E207" s="8"/>
      <c r="F207" s="91"/>
      <c r="G207" s="8"/>
      <c r="H207" s="92" t="str">
        <f t="array" ref="H207">IFS(F207="", "",F207="Organizer", 0.5, F207="Team Leader", 0.5, F207="Participant", 0.25, F207="Performer", 0.25)</f>
        <v/>
      </c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ht="15.0" customHeight="1">
      <c r="A208" s="93"/>
      <c r="B208" s="93"/>
      <c r="C208" s="91"/>
      <c r="D208" s="10"/>
      <c r="E208" s="8"/>
      <c r="F208" s="91"/>
      <c r="G208" s="8"/>
      <c r="H208" s="92" t="str">
        <f t="array" ref="H208">IFS(F208="", "",F208="Organizer", 0.5, F208="Team Leader", 0.5, F208="Participant", 0.25, F208="Performer", 0.25)</f>
        <v/>
      </c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ht="15.0" customHeight="1">
      <c r="A209" s="93"/>
      <c r="B209" s="93"/>
      <c r="C209" s="91"/>
      <c r="D209" s="10"/>
      <c r="E209" s="8"/>
      <c r="F209" s="91"/>
      <c r="G209" s="8"/>
      <c r="H209" s="92" t="str">
        <f t="array" ref="H209">IFS(F209="", "",F209="Organizer", 0.5, F209="Team Leader", 0.5, F209="Participant", 0.25, F209="Performer", 0.25)</f>
        <v/>
      </c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ht="15.0" customHeight="1">
      <c r="A210" s="107" t="s">
        <v>49</v>
      </c>
      <c r="B210" s="108"/>
      <c r="C210" s="108"/>
      <c r="D210" s="108"/>
      <c r="E210" s="108"/>
      <c r="F210" s="108"/>
      <c r="G210" s="109"/>
      <c r="H210" s="110">
        <f>SUM(H160:H209)</f>
        <v>1</v>
      </c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ht="15.75" customHeight="1">
      <c r="A211" s="76" t="s">
        <v>130</v>
      </c>
      <c r="B211" s="5"/>
      <c r="C211" s="5"/>
      <c r="D211" s="5"/>
      <c r="E211" s="5"/>
      <c r="F211" s="5"/>
      <c r="G211" s="5"/>
      <c r="H211" s="6"/>
    </row>
    <row r="212" ht="15.75" customHeight="1">
      <c r="A212" s="19" t="s">
        <v>52</v>
      </c>
      <c r="B212" s="10"/>
      <c r="C212" s="10"/>
      <c r="D212" s="10"/>
      <c r="E212" s="10"/>
      <c r="F212" s="8"/>
      <c r="G212" s="111" t="s">
        <v>49</v>
      </c>
      <c r="H212" s="104">
        <f>H51</f>
        <v>27</v>
      </c>
    </row>
    <row r="213" ht="15.75" customHeight="1">
      <c r="A213" s="19" t="s">
        <v>53</v>
      </c>
      <c r="B213" s="10"/>
      <c r="C213" s="10"/>
      <c r="D213" s="10"/>
      <c r="E213" s="10"/>
      <c r="F213" s="8"/>
      <c r="G213" s="111" t="s">
        <v>49</v>
      </c>
      <c r="H213" s="104">
        <f>H104</f>
        <v>6</v>
      </c>
    </row>
    <row r="214" ht="15.75" customHeight="1">
      <c r="A214" s="19" t="s">
        <v>119</v>
      </c>
      <c r="B214" s="10"/>
      <c r="C214" s="10"/>
      <c r="D214" s="10"/>
      <c r="E214" s="10"/>
      <c r="F214" s="8"/>
      <c r="G214" s="111" t="s">
        <v>49</v>
      </c>
      <c r="H214" s="104">
        <f>H157</f>
        <v>3</v>
      </c>
    </row>
    <row r="215" ht="15.75" customHeight="1">
      <c r="A215" s="19" t="s">
        <v>131</v>
      </c>
      <c r="B215" s="10"/>
      <c r="C215" s="10"/>
      <c r="D215" s="10"/>
      <c r="E215" s="10"/>
      <c r="F215" s="8"/>
      <c r="G215" s="111" t="s">
        <v>49</v>
      </c>
      <c r="H215" s="104">
        <f>H210</f>
        <v>1</v>
      </c>
    </row>
    <row r="216" ht="15.75" customHeight="1">
      <c r="A216" s="61" t="s">
        <v>13</v>
      </c>
      <c r="B216" s="15"/>
      <c r="C216" s="15"/>
      <c r="D216" s="15"/>
      <c r="E216" s="15"/>
      <c r="F216" s="15"/>
      <c r="G216" s="13"/>
      <c r="H216" s="105">
        <f>MIN(SUM(H212:H215),12)</f>
        <v>12</v>
      </c>
    </row>
    <row r="217" ht="15.75" customHeight="1">
      <c r="A217" s="79"/>
      <c r="B217" s="79"/>
      <c r="C217" s="79"/>
      <c r="D217" s="79"/>
      <c r="E217" s="79"/>
      <c r="F217" s="79"/>
      <c r="G217" s="79"/>
      <c r="H217" s="80"/>
    </row>
    <row r="218" ht="15.75" customHeight="1">
      <c r="A218" s="79"/>
      <c r="B218" s="79"/>
      <c r="C218" s="79"/>
      <c r="D218" s="79"/>
      <c r="E218" s="79"/>
      <c r="F218" s="79"/>
      <c r="G218" s="79"/>
      <c r="H218" s="80"/>
    </row>
    <row r="219" ht="15.75" customHeight="1">
      <c r="A219" s="79"/>
      <c r="B219" s="79"/>
      <c r="C219" s="79"/>
      <c r="D219" s="79"/>
      <c r="E219" s="79"/>
      <c r="F219" s="79"/>
      <c r="G219" s="79"/>
      <c r="H219" s="80"/>
    </row>
    <row r="220" ht="15.75" customHeight="1">
      <c r="A220" s="79"/>
      <c r="B220" s="79"/>
      <c r="C220" s="79"/>
      <c r="D220" s="79"/>
      <c r="E220" s="79"/>
      <c r="F220" s="79"/>
      <c r="G220" s="79"/>
      <c r="H220" s="80"/>
    </row>
    <row r="221" ht="15.75" customHeight="1">
      <c r="A221" s="79"/>
      <c r="B221" s="79"/>
      <c r="C221" s="79"/>
      <c r="D221" s="79"/>
      <c r="E221" s="79"/>
      <c r="F221" s="79"/>
      <c r="G221" s="79"/>
      <c r="H221" s="80"/>
    </row>
    <row r="222" ht="15.75" customHeight="1">
      <c r="A222" s="79"/>
      <c r="B222" s="79"/>
      <c r="C222" s="79"/>
      <c r="D222" s="79"/>
      <c r="E222" s="79"/>
      <c r="F222" s="79"/>
      <c r="G222" s="79"/>
      <c r="H222" s="80"/>
    </row>
    <row r="223" ht="15.75" customHeight="1">
      <c r="A223" s="79"/>
      <c r="B223" s="79"/>
      <c r="C223" s="79"/>
      <c r="D223" s="79"/>
      <c r="E223" s="79"/>
      <c r="F223" s="79"/>
      <c r="G223" s="79"/>
      <c r="H223" s="80"/>
    </row>
    <row r="224" ht="15.75" customHeight="1">
      <c r="A224" s="79"/>
      <c r="B224" s="79"/>
      <c r="C224" s="79"/>
      <c r="D224" s="79"/>
      <c r="E224" s="79"/>
      <c r="F224" s="79"/>
      <c r="G224" s="79"/>
      <c r="H224" s="80"/>
    </row>
    <row r="225" ht="15.75" customHeight="1">
      <c r="A225" s="79"/>
      <c r="B225" s="79"/>
      <c r="C225" s="79"/>
      <c r="D225" s="79"/>
      <c r="E225" s="79"/>
      <c r="F225" s="79"/>
      <c r="G225" s="79"/>
      <c r="H225" s="80"/>
    </row>
    <row r="226" ht="15.75" customHeight="1">
      <c r="A226" s="79"/>
      <c r="B226" s="79"/>
      <c r="C226" s="79"/>
      <c r="D226" s="79"/>
      <c r="E226" s="79"/>
      <c r="F226" s="79"/>
      <c r="G226" s="79"/>
      <c r="H226" s="80"/>
    </row>
    <row r="227" ht="15.75" customHeight="1">
      <c r="A227" s="79"/>
      <c r="B227" s="79"/>
      <c r="C227" s="79"/>
      <c r="D227" s="79"/>
      <c r="E227" s="79"/>
      <c r="F227" s="79"/>
      <c r="G227" s="79"/>
      <c r="H227" s="80"/>
    </row>
    <row r="228" ht="15.75" customHeight="1">
      <c r="A228" s="79"/>
      <c r="B228" s="79"/>
      <c r="C228" s="79"/>
      <c r="D228" s="79"/>
      <c r="E228" s="79"/>
      <c r="F228" s="79"/>
      <c r="G228" s="79"/>
      <c r="H228" s="80"/>
    </row>
    <row r="229" ht="15.75" customHeight="1">
      <c r="A229" s="79"/>
      <c r="B229" s="79"/>
      <c r="C229" s="79"/>
      <c r="D229" s="79"/>
      <c r="E229" s="79"/>
      <c r="F229" s="79"/>
      <c r="G229" s="79"/>
      <c r="H229" s="80"/>
    </row>
    <row r="230" ht="15.75" customHeight="1">
      <c r="A230" s="79"/>
      <c r="B230" s="79"/>
      <c r="C230" s="79"/>
      <c r="D230" s="79"/>
      <c r="E230" s="79"/>
      <c r="F230" s="79"/>
      <c r="G230" s="79"/>
      <c r="H230" s="80"/>
    </row>
    <row r="231" ht="15.75" customHeight="1">
      <c r="A231" s="79"/>
      <c r="B231" s="79"/>
      <c r="C231" s="79"/>
      <c r="D231" s="79"/>
      <c r="E231" s="79"/>
      <c r="F231" s="79"/>
      <c r="G231" s="79"/>
      <c r="H231" s="80"/>
    </row>
    <row r="232" ht="15.75" customHeight="1">
      <c r="A232" s="79"/>
      <c r="B232" s="79"/>
      <c r="C232" s="79"/>
      <c r="D232" s="79"/>
      <c r="E232" s="79"/>
      <c r="F232" s="79"/>
      <c r="G232" s="79"/>
      <c r="H232" s="80"/>
    </row>
    <row r="233" ht="15.75" customHeight="1">
      <c r="A233" s="79"/>
      <c r="B233" s="79"/>
      <c r="C233" s="79"/>
      <c r="D233" s="79"/>
      <c r="E233" s="79"/>
      <c r="F233" s="79"/>
      <c r="G233" s="79"/>
      <c r="H233" s="80"/>
    </row>
    <row r="234" ht="15.75" customHeight="1"/>
    <row r="235" ht="15.75" customHeight="1">
      <c r="A235" s="25" t="s">
        <v>21</v>
      </c>
      <c r="B235" s="106"/>
      <c r="C235" s="26"/>
      <c r="D235" s="26"/>
      <c r="E235" s="26"/>
      <c r="F235" s="26"/>
      <c r="G235" s="26"/>
      <c r="H235" s="27"/>
    </row>
    <row r="236" ht="15.75" customHeight="1">
      <c r="A236" s="28"/>
      <c r="B236" s="51"/>
      <c r="H236" s="29"/>
    </row>
    <row r="237" ht="15.75" customHeight="1">
      <c r="A237" s="30" t="s">
        <v>22</v>
      </c>
      <c r="B237" s="31"/>
      <c r="C237" s="31"/>
      <c r="D237" s="31"/>
      <c r="F237" s="32" t="s">
        <v>23</v>
      </c>
      <c r="G237" s="31"/>
      <c r="H237" s="33"/>
    </row>
    <row r="238" ht="15.75" customHeight="1">
      <c r="A238" s="85" t="s">
        <v>24</v>
      </c>
      <c r="F238" s="1" t="s">
        <v>25</v>
      </c>
      <c r="H238" s="36"/>
    </row>
    <row r="239" ht="15.75" customHeight="1">
      <c r="A239" s="37" t="s">
        <v>26</v>
      </c>
      <c r="F239" s="38" t="s">
        <v>26</v>
      </c>
      <c r="H239" s="36"/>
    </row>
    <row r="240" ht="15.75" customHeight="1">
      <c r="A240" s="28"/>
      <c r="B240" s="51"/>
      <c r="H240" s="29"/>
    </row>
    <row r="241" ht="15.75" customHeight="1">
      <c r="A241" s="28"/>
      <c r="B241" s="51"/>
      <c r="D241" s="32" t="s">
        <v>55</v>
      </c>
      <c r="E241" s="31"/>
      <c r="F241" s="31"/>
      <c r="H241" s="29"/>
    </row>
    <row r="242" ht="15.75" customHeight="1">
      <c r="A242" s="28"/>
      <c r="B242" s="51"/>
      <c r="D242" s="1" t="s">
        <v>24</v>
      </c>
      <c r="H242" s="29"/>
    </row>
    <row r="243" ht="15.75" customHeight="1">
      <c r="A243" s="39"/>
      <c r="B243" s="40"/>
      <c r="C243" s="40"/>
      <c r="D243" s="41" t="s">
        <v>26</v>
      </c>
      <c r="E243" s="42"/>
      <c r="F243" s="42"/>
      <c r="G243" s="40"/>
      <c r="H243" s="4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7">
    <mergeCell ref="C95:E95"/>
    <mergeCell ref="F95:G95"/>
    <mergeCell ref="C96:E96"/>
    <mergeCell ref="F96:G96"/>
    <mergeCell ref="C97:E97"/>
    <mergeCell ref="F97:G97"/>
    <mergeCell ref="F98:G98"/>
    <mergeCell ref="C98:E98"/>
    <mergeCell ref="C99:E99"/>
    <mergeCell ref="F99:G99"/>
    <mergeCell ref="C100:E100"/>
    <mergeCell ref="F100:G100"/>
    <mergeCell ref="C101:E101"/>
    <mergeCell ref="F101:G101"/>
    <mergeCell ref="C31:E31"/>
    <mergeCell ref="F31:G31"/>
    <mergeCell ref="C32:E32"/>
    <mergeCell ref="F32:G32"/>
    <mergeCell ref="C33:E33"/>
    <mergeCell ref="F33:G33"/>
    <mergeCell ref="F34:G34"/>
    <mergeCell ref="C34:E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C41:E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F48:G48"/>
    <mergeCell ref="C48:E48"/>
    <mergeCell ref="C49:E49"/>
    <mergeCell ref="F49:G49"/>
    <mergeCell ref="C50:E50"/>
    <mergeCell ref="F50:G50"/>
    <mergeCell ref="A51:G51"/>
    <mergeCell ref="A52:H52"/>
    <mergeCell ref="C102:E102"/>
    <mergeCell ref="F102:G102"/>
    <mergeCell ref="C103:E103"/>
    <mergeCell ref="F103:G103"/>
    <mergeCell ref="A104:G104"/>
    <mergeCell ref="A105:H105"/>
    <mergeCell ref="F106:G106"/>
    <mergeCell ref="C106:E106"/>
    <mergeCell ref="C107:E107"/>
    <mergeCell ref="F107:G107"/>
    <mergeCell ref="C108:E108"/>
    <mergeCell ref="F108:G108"/>
    <mergeCell ref="C109:E109"/>
    <mergeCell ref="F109:G109"/>
    <mergeCell ref="C110:E110"/>
    <mergeCell ref="F110:G110"/>
    <mergeCell ref="C111:E111"/>
    <mergeCell ref="F111:G111"/>
    <mergeCell ref="C112:E112"/>
    <mergeCell ref="F112:G112"/>
    <mergeCell ref="F113:G113"/>
    <mergeCell ref="C113:E113"/>
    <mergeCell ref="C114:E114"/>
    <mergeCell ref="F114:G114"/>
    <mergeCell ref="C115:E115"/>
    <mergeCell ref="F115:G115"/>
    <mergeCell ref="C116:E116"/>
    <mergeCell ref="F116:G116"/>
    <mergeCell ref="C117:E117"/>
    <mergeCell ref="F117:G117"/>
    <mergeCell ref="C118:E118"/>
    <mergeCell ref="F118:G118"/>
    <mergeCell ref="C119:E119"/>
    <mergeCell ref="F119:G119"/>
    <mergeCell ref="F120:G120"/>
    <mergeCell ref="C120:E120"/>
    <mergeCell ref="C121:E121"/>
    <mergeCell ref="F121:G121"/>
    <mergeCell ref="C122:E122"/>
    <mergeCell ref="F122:G122"/>
    <mergeCell ref="C123:E123"/>
    <mergeCell ref="F123:G123"/>
    <mergeCell ref="C124:E124"/>
    <mergeCell ref="F124:G124"/>
    <mergeCell ref="C125:E125"/>
    <mergeCell ref="F125:G125"/>
    <mergeCell ref="C126:E126"/>
    <mergeCell ref="F126:G126"/>
    <mergeCell ref="F127:G127"/>
    <mergeCell ref="C127:E127"/>
    <mergeCell ref="C128:E128"/>
    <mergeCell ref="F128:G128"/>
    <mergeCell ref="C129:E129"/>
    <mergeCell ref="F129:G129"/>
    <mergeCell ref="C130:E130"/>
    <mergeCell ref="F130:G130"/>
    <mergeCell ref="C131:E131"/>
    <mergeCell ref="F131:G131"/>
    <mergeCell ref="C132:E132"/>
    <mergeCell ref="F132:G132"/>
    <mergeCell ref="C133:E133"/>
    <mergeCell ref="F133:G133"/>
    <mergeCell ref="F134:G134"/>
    <mergeCell ref="C134:E134"/>
    <mergeCell ref="C135:E135"/>
    <mergeCell ref="F135:G135"/>
    <mergeCell ref="C136:E136"/>
    <mergeCell ref="F136:G136"/>
    <mergeCell ref="C137:E137"/>
    <mergeCell ref="F137:G137"/>
    <mergeCell ref="C138:E138"/>
    <mergeCell ref="F138:G138"/>
    <mergeCell ref="C139:E139"/>
    <mergeCell ref="F139:G139"/>
    <mergeCell ref="C140:E140"/>
    <mergeCell ref="F140:G140"/>
    <mergeCell ref="F141:G141"/>
    <mergeCell ref="C141:E141"/>
    <mergeCell ref="C142:E142"/>
    <mergeCell ref="F142:G142"/>
    <mergeCell ref="C143:E143"/>
    <mergeCell ref="F143:G143"/>
    <mergeCell ref="C144:E144"/>
    <mergeCell ref="F144:G144"/>
    <mergeCell ref="C145:E145"/>
    <mergeCell ref="F145:G145"/>
    <mergeCell ref="C146:E146"/>
    <mergeCell ref="F146:G146"/>
    <mergeCell ref="C147:E147"/>
    <mergeCell ref="F147:G147"/>
    <mergeCell ref="F148:G148"/>
    <mergeCell ref="C148:E148"/>
    <mergeCell ref="C149:E149"/>
    <mergeCell ref="F149:G149"/>
    <mergeCell ref="C150:E150"/>
    <mergeCell ref="F150:G150"/>
    <mergeCell ref="C151:E151"/>
    <mergeCell ref="F151:G151"/>
    <mergeCell ref="C152:E152"/>
    <mergeCell ref="F152:G152"/>
    <mergeCell ref="C153:E153"/>
    <mergeCell ref="F153:G153"/>
    <mergeCell ref="C154:E154"/>
    <mergeCell ref="F154:G154"/>
    <mergeCell ref="F155:G155"/>
    <mergeCell ref="C155:E155"/>
    <mergeCell ref="C156:E156"/>
    <mergeCell ref="F156:G156"/>
    <mergeCell ref="A157:G157"/>
    <mergeCell ref="A158:H158"/>
    <mergeCell ref="C159:E159"/>
    <mergeCell ref="F159:G159"/>
    <mergeCell ref="C160:E160"/>
    <mergeCell ref="F160:G160"/>
    <mergeCell ref="C161:E161"/>
    <mergeCell ref="F161:G161"/>
    <mergeCell ref="C162:E162"/>
    <mergeCell ref="F162:G162"/>
    <mergeCell ref="F163:G163"/>
    <mergeCell ref="C163:E163"/>
    <mergeCell ref="C164:E164"/>
    <mergeCell ref="F164:G164"/>
    <mergeCell ref="C165:E165"/>
    <mergeCell ref="F165:G165"/>
    <mergeCell ref="C166:E166"/>
    <mergeCell ref="F166:G166"/>
    <mergeCell ref="C167:E167"/>
    <mergeCell ref="F167:G167"/>
    <mergeCell ref="C168:E168"/>
    <mergeCell ref="F168:G168"/>
    <mergeCell ref="C169:E169"/>
    <mergeCell ref="F169:G169"/>
    <mergeCell ref="F170:G170"/>
    <mergeCell ref="C170:E170"/>
    <mergeCell ref="C171:E171"/>
    <mergeCell ref="F171:G171"/>
    <mergeCell ref="C172:E172"/>
    <mergeCell ref="F172:G172"/>
    <mergeCell ref="C173:E173"/>
    <mergeCell ref="F173:G173"/>
    <mergeCell ref="C174:E174"/>
    <mergeCell ref="F174:G174"/>
    <mergeCell ref="C175:E175"/>
    <mergeCell ref="F175:G175"/>
    <mergeCell ref="C176:E176"/>
    <mergeCell ref="F176:G176"/>
    <mergeCell ref="F177:G177"/>
    <mergeCell ref="C177:E177"/>
    <mergeCell ref="C178:E178"/>
    <mergeCell ref="F178:G178"/>
    <mergeCell ref="C179:E179"/>
    <mergeCell ref="F179:G179"/>
    <mergeCell ref="C180:E180"/>
    <mergeCell ref="F180:G180"/>
    <mergeCell ref="C202:E202"/>
    <mergeCell ref="F202:G202"/>
    <mergeCell ref="C203:E203"/>
    <mergeCell ref="F203:G203"/>
    <mergeCell ref="C204:E204"/>
    <mergeCell ref="F204:G204"/>
    <mergeCell ref="F205:G205"/>
    <mergeCell ref="C205:E205"/>
    <mergeCell ref="C206:E206"/>
    <mergeCell ref="F206:G206"/>
    <mergeCell ref="C207:E207"/>
    <mergeCell ref="F207:G207"/>
    <mergeCell ref="C208:E208"/>
    <mergeCell ref="F208:G208"/>
    <mergeCell ref="A210:G210"/>
    <mergeCell ref="A211:H211"/>
    <mergeCell ref="A212:F212"/>
    <mergeCell ref="A213:F213"/>
    <mergeCell ref="A214:F214"/>
    <mergeCell ref="A215:F215"/>
    <mergeCell ref="A216:G216"/>
    <mergeCell ref="D242:F242"/>
    <mergeCell ref="D243:F243"/>
    <mergeCell ref="A237:D237"/>
    <mergeCell ref="F237:H237"/>
    <mergeCell ref="A238:D238"/>
    <mergeCell ref="F238:H238"/>
    <mergeCell ref="A239:D239"/>
    <mergeCell ref="F239:H239"/>
    <mergeCell ref="D241:F241"/>
    <mergeCell ref="C181:E181"/>
    <mergeCell ref="F181:G181"/>
    <mergeCell ref="C182:E182"/>
    <mergeCell ref="F182:G182"/>
    <mergeCell ref="C183:E183"/>
    <mergeCell ref="F183:G183"/>
    <mergeCell ref="F184:G184"/>
    <mergeCell ref="C184:E184"/>
    <mergeCell ref="C185:E185"/>
    <mergeCell ref="F185:G185"/>
    <mergeCell ref="C186:E186"/>
    <mergeCell ref="F186:G186"/>
    <mergeCell ref="C187:E187"/>
    <mergeCell ref="F187:G187"/>
    <mergeCell ref="C188:E188"/>
    <mergeCell ref="F188:G188"/>
    <mergeCell ref="C189:E189"/>
    <mergeCell ref="F189:G189"/>
    <mergeCell ref="C190:E190"/>
    <mergeCell ref="F190:G190"/>
    <mergeCell ref="F191:G191"/>
    <mergeCell ref="C191:E191"/>
    <mergeCell ref="C192:E192"/>
    <mergeCell ref="F192:G192"/>
    <mergeCell ref="C193:E193"/>
    <mergeCell ref="F193:G193"/>
    <mergeCell ref="C194:E194"/>
    <mergeCell ref="F194:G194"/>
    <mergeCell ref="C195:E195"/>
    <mergeCell ref="F195:G195"/>
    <mergeCell ref="C196:E196"/>
    <mergeCell ref="F196:G196"/>
    <mergeCell ref="C197:E197"/>
    <mergeCell ref="F197:G197"/>
    <mergeCell ref="F198:G198"/>
    <mergeCell ref="C198:E198"/>
    <mergeCell ref="C199:E199"/>
    <mergeCell ref="F199:G199"/>
    <mergeCell ref="C200:E200"/>
    <mergeCell ref="F200:G200"/>
    <mergeCell ref="C201:E201"/>
    <mergeCell ref="F201:G201"/>
    <mergeCell ref="C209:E209"/>
    <mergeCell ref="F209:G209"/>
    <mergeCell ref="A1:H1"/>
    <mergeCell ref="K1:L1"/>
    <mergeCell ref="A2:H2"/>
    <mergeCell ref="A4:H4"/>
    <mergeCell ref="A6:C6"/>
    <mergeCell ref="D6:H6"/>
    <mergeCell ref="D7:H7"/>
    <mergeCell ref="A7:C7"/>
    <mergeCell ref="A8:C8"/>
    <mergeCell ref="D8:H8"/>
    <mergeCell ref="A10:F10"/>
    <mergeCell ref="A11:H11"/>
    <mergeCell ref="A12:H12"/>
    <mergeCell ref="F13:G13"/>
    <mergeCell ref="C13:E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F20:G20"/>
    <mergeCell ref="C20:E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F27:G27"/>
    <mergeCell ref="C27:E27"/>
    <mergeCell ref="C28:E28"/>
    <mergeCell ref="F28:G28"/>
    <mergeCell ref="C29:E29"/>
    <mergeCell ref="F29:G29"/>
    <mergeCell ref="C30:E30"/>
    <mergeCell ref="F30:G30"/>
    <mergeCell ref="C53:E53"/>
    <mergeCell ref="F53:G53"/>
    <mergeCell ref="C54:E54"/>
    <mergeCell ref="F54:G54"/>
    <mergeCell ref="C55:E55"/>
    <mergeCell ref="F55:G55"/>
    <mergeCell ref="F56:G56"/>
    <mergeCell ref="C56:E56"/>
    <mergeCell ref="C57:E57"/>
    <mergeCell ref="F57:G57"/>
    <mergeCell ref="C58:E58"/>
    <mergeCell ref="F58:G58"/>
    <mergeCell ref="C59:E59"/>
    <mergeCell ref="F59:G59"/>
    <mergeCell ref="C60:E60"/>
    <mergeCell ref="F60:G60"/>
    <mergeCell ref="C61:E61"/>
    <mergeCell ref="F61:G61"/>
    <mergeCell ref="C62:E62"/>
    <mergeCell ref="F62:G62"/>
    <mergeCell ref="F63:G63"/>
    <mergeCell ref="C63:E63"/>
    <mergeCell ref="C64:E64"/>
    <mergeCell ref="F64:G64"/>
    <mergeCell ref="C65:E65"/>
    <mergeCell ref="F65:G65"/>
    <mergeCell ref="C66:E66"/>
    <mergeCell ref="F66:G66"/>
    <mergeCell ref="C67:E67"/>
    <mergeCell ref="F67:G67"/>
    <mergeCell ref="C68:E68"/>
    <mergeCell ref="F68:G68"/>
    <mergeCell ref="C69:E69"/>
    <mergeCell ref="F69:G69"/>
    <mergeCell ref="F70:G70"/>
    <mergeCell ref="C70:E70"/>
    <mergeCell ref="C71:E71"/>
    <mergeCell ref="F71:G71"/>
    <mergeCell ref="C72:E72"/>
    <mergeCell ref="F72:G72"/>
    <mergeCell ref="C73:E73"/>
    <mergeCell ref="F73:G73"/>
    <mergeCell ref="C74:E74"/>
    <mergeCell ref="F74:G74"/>
    <mergeCell ref="C75:E75"/>
    <mergeCell ref="F75:G75"/>
    <mergeCell ref="C76:E76"/>
    <mergeCell ref="F76:G76"/>
    <mergeCell ref="F77:G77"/>
    <mergeCell ref="C77:E77"/>
    <mergeCell ref="C78:E78"/>
    <mergeCell ref="F78:G78"/>
    <mergeCell ref="C79:E79"/>
    <mergeCell ref="F79:G79"/>
    <mergeCell ref="C80:E80"/>
    <mergeCell ref="F80:G80"/>
    <mergeCell ref="C81:E81"/>
    <mergeCell ref="F81:G81"/>
    <mergeCell ref="C82:E82"/>
    <mergeCell ref="F82:G82"/>
    <mergeCell ref="C83:E83"/>
    <mergeCell ref="F83:G83"/>
    <mergeCell ref="F84:G84"/>
    <mergeCell ref="C84:E84"/>
    <mergeCell ref="C85:E85"/>
    <mergeCell ref="F85:G85"/>
    <mergeCell ref="C86:E86"/>
    <mergeCell ref="F86:G86"/>
    <mergeCell ref="C87:E87"/>
    <mergeCell ref="F87:G87"/>
    <mergeCell ref="C88:E88"/>
    <mergeCell ref="F88:G88"/>
    <mergeCell ref="C89:E89"/>
    <mergeCell ref="F89:G89"/>
    <mergeCell ref="C90:E90"/>
    <mergeCell ref="F90:G90"/>
    <mergeCell ref="F91:G91"/>
    <mergeCell ref="C91:E91"/>
    <mergeCell ref="C92:E92"/>
    <mergeCell ref="F92:G92"/>
    <mergeCell ref="C93:E93"/>
    <mergeCell ref="F93:G93"/>
    <mergeCell ref="C94:E94"/>
    <mergeCell ref="F94:G94"/>
  </mergeCells>
  <dataValidations>
    <dataValidation type="list" allowBlank="1" showErrorMessage="1" sqref="F14:F50 F54:F103 F107:F156 F160:F209">
      <formula1>$I$14:$I$17</formula1>
    </dataValidation>
  </dataValidations>
  <printOptions/>
  <pageMargins bottom="0.75" footer="0.0" header="0.0" left="0.25" right="0.25" top="0.75"/>
  <pageSetup paperSize="14" orientation="portrait"/>
  <headerFooter>
    <oddFooter>&amp;CFF0000Leading Innovations, Transforming Lives, Buillding the Nation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2024-05-27T05:25:16Z</dcterms:created>
  <dc:creator>Alfredo Atienza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2024-05-27T07:38:28Z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c0b1512f-ca25-460a-83a3-8ca03cd2e7ec</vt:lpwstr>
  </property>
  <property fmtid="{D5CDD505-2E9C-101B-9397-08002B2CF9AE}" pid="7" name="MSIP_Label_defa4170-0d19-0005-0004-bc88714345d2_ActionId">
    <vt:lpwstr>b5aff950-9a52-4b76-b15a-60d8b3456d43</vt:lpwstr>
  </property>
  <property fmtid="{D5CDD505-2E9C-101B-9397-08002B2CF9AE}" pid="8" name="MSIP_Label_defa4170-0d19-0005-0004-bc88714345d2_ContentBits">
    <vt:lpwstr>0</vt:lpwstr>
  </property>
</Properties>
</file>